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esarollo\Office\excel\"/>
    </mc:Choice>
  </mc:AlternateContent>
  <bookViews>
    <workbookView xWindow="-120" yWindow="-120" windowWidth="20730" windowHeight="11160" firstSheet="5" activeTab="7"/>
  </bookViews>
  <sheets>
    <sheet name="Práctica uno" sheetId="1" r:id="rId1"/>
    <sheet name="Planilla" sheetId="2" r:id="rId2"/>
    <sheet name="Gráfico1" sheetId="11" r:id="rId3"/>
    <sheet name="Precios Productos" sheetId="4" r:id="rId4"/>
    <sheet name="Búsqueda" sheetId="5" r:id="rId5"/>
    <sheet name="Factura" sheetId="6" r:id="rId6"/>
    <sheet name="Marcadores" sheetId="7" r:id="rId7"/>
    <sheet name="Gato" sheetId="8" r:id="rId8"/>
    <sheet name="Tabla Informatica" sheetId="10" r:id="rId9"/>
    <sheet name="Horarios" sheetId="12" r:id="rId10"/>
    <sheet name="Docentes" sheetId="9" r:id="rId11"/>
    <sheet name="Evaluación" sheetId="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2" l="1"/>
  <c r="D5" i="12"/>
  <c r="E5" i="12"/>
  <c r="F5" i="12"/>
  <c r="G5" i="12" s="1"/>
  <c r="H5" i="12" s="1"/>
  <c r="B5" i="12"/>
  <c r="C4" i="10"/>
  <c r="E6" i="10"/>
  <c r="E5" i="10"/>
  <c r="F2" i="8"/>
  <c r="E7" i="9"/>
  <c r="F7" i="9" s="1"/>
  <c r="C18" i="9"/>
  <c r="F10" i="9"/>
  <c r="G10" i="9" s="1"/>
  <c r="E6" i="9"/>
  <c r="F6" i="9" s="1"/>
  <c r="G6" i="9" s="1"/>
  <c r="E5" i="9"/>
  <c r="F5" i="9" s="1"/>
  <c r="G5" i="9" s="1"/>
  <c r="E8" i="9"/>
  <c r="F8" i="9" s="1"/>
  <c r="G8" i="9" s="1"/>
  <c r="E9" i="9"/>
  <c r="F9" i="9" s="1"/>
  <c r="G9" i="9" s="1"/>
  <c r="E12" i="9"/>
  <c r="F12" i="9" s="1"/>
  <c r="G12" i="9" s="1"/>
  <c r="E11" i="9"/>
  <c r="F11" i="9" s="1"/>
  <c r="G11" i="9" s="1"/>
  <c r="E10" i="9"/>
  <c r="E3" i="9"/>
  <c r="F3" i="9" s="1"/>
  <c r="G3" i="9" s="1"/>
  <c r="E4" i="9"/>
  <c r="F4" i="9" s="1"/>
  <c r="G4" i="9" s="1"/>
  <c r="D3" i="8"/>
  <c r="F1" i="8"/>
  <c r="E10" i="7"/>
  <c r="C5" i="10" l="1"/>
  <c r="G7" i="9"/>
  <c r="C6" i="10" s="1"/>
  <c r="I11" i="9"/>
  <c r="H11" i="9"/>
  <c r="J11" i="9" s="1"/>
  <c r="I5" i="9"/>
  <c r="H5" i="9"/>
  <c r="J5" i="9" s="1"/>
  <c r="I4" i="9"/>
  <c r="H4" i="9"/>
  <c r="I12" i="9"/>
  <c r="H12" i="9"/>
  <c r="J12" i="9"/>
  <c r="I6" i="9"/>
  <c r="H6" i="9"/>
  <c r="J6" i="9" s="1"/>
  <c r="H3" i="9"/>
  <c r="J3" i="9" s="1"/>
  <c r="I3" i="9"/>
  <c r="H9" i="9"/>
  <c r="I9" i="9"/>
  <c r="J9" i="9" s="1"/>
  <c r="I10" i="9"/>
  <c r="H10" i="9"/>
  <c r="J10" i="9" s="1"/>
  <c r="I8" i="9"/>
  <c r="H8" i="9"/>
  <c r="J8" i="9" s="1"/>
  <c r="C17" i="9"/>
  <c r="I7" i="9"/>
  <c r="C8" i="10" s="1"/>
  <c r="H7" i="9"/>
  <c r="E3" i="8"/>
  <c r="G3" i="7"/>
  <c r="G4" i="7"/>
  <c r="G5" i="7"/>
  <c r="G2" i="7"/>
  <c r="F2" i="7"/>
  <c r="F3" i="7"/>
  <c r="F4" i="7"/>
  <c r="F5" i="7"/>
  <c r="J3" i="7"/>
  <c r="J4" i="7"/>
  <c r="J5" i="7"/>
  <c r="J2" i="7"/>
  <c r="I3" i="7"/>
  <c r="I4" i="7"/>
  <c r="I5" i="7"/>
  <c r="I2" i="7"/>
  <c r="J7" i="9" l="1"/>
  <c r="E7" i="10" s="1"/>
  <c r="C7" i="10"/>
  <c r="J4" i="9"/>
  <c r="C15" i="9" s="1"/>
  <c r="C14" i="9"/>
  <c r="C16" i="9"/>
  <c r="H2" i="7"/>
  <c r="H3" i="7"/>
  <c r="H4" i="7"/>
  <c r="H5" i="7"/>
  <c r="E2" i="7"/>
  <c r="E3" i="7"/>
  <c r="E5" i="7"/>
  <c r="E4" i="7"/>
  <c r="D5" i="6"/>
  <c r="D4" i="6"/>
  <c r="D3" i="6"/>
  <c r="D2" i="6"/>
  <c r="C3" i="6" l="1"/>
  <c r="C5" i="6"/>
  <c r="C4" i="6"/>
  <c r="G11" i="6" l="1"/>
  <c r="G6" i="6"/>
  <c r="G7" i="6"/>
  <c r="G8" i="6"/>
  <c r="G9" i="6"/>
  <c r="G10" i="6"/>
  <c r="C2" i="6"/>
  <c r="A3" i="5"/>
  <c r="E3" i="4"/>
  <c r="E4" i="4"/>
  <c r="E5" i="4"/>
  <c r="E6" i="4"/>
  <c r="E7" i="4"/>
  <c r="E8" i="4"/>
  <c r="E9" i="4"/>
  <c r="E10" i="4"/>
  <c r="E11" i="4"/>
  <c r="E2" i="4"/>
  <c r="F2" i="4"/>
  <c r="G2" i="4" s="1"/>
  <c r="F3" i="4"/>
  <c r="G3" i="4" s="1"/>
  <c r="E4" i="6" s="1"/>
  <c r="G4" i="6" s="1"/>
  <c r="F4" i="4"/>
  <c r="G4" i="4" s="1"/>
  <c r="F5" i="4"/>
  <c r="G5" i="4" s="1"/>
  <c r="F6" i="4"/>
  <c r="G6" i="4" s="1"/>
  <c r="E3" i="6" s="1"/>
  <c r="G3" i="6" s="1"/>
  <c r="F7" i="4"/>
  <c r="G7" i="4" s="1"/>
  <c r="F8" i="4"/>
  <c r="G8" i="4" s="1"/>
  <c r="F9" i="4"/>
  <c r="G9" i="4" s="1"/>
  <c r="F10" i="4"/>
  <c r="G10" i="4" s="1"/>
  <c r="F11" i="4"/>
  <c r="G11" i="4" s="1"/>
  <c r="E5" i="6" s="1"/>
  <c r="G5" i="6" s="1"/>
  <c r="C14" i="2"/>
  <c r="F12" i="3"/>
  <c r="C14" i="3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3" i="3"/>
  <c r="G13" i="3" s="1"/>
  <c r="E2" i="6" l="1"/>
  <c r="G2" i="6" s="1"/>
  <c r="G13" i="6"/>
  <c r="C15" i="3"/>
  <c r="C18" i="3"/>
  <c r="C16" i="3"/>
  <c r="C20" i="3"/>
  <c r="G12" i="3"/>
  <c r="C19" i="3" s="1"/>
  <c r="C17" i="3"/>
  <c r="E13" i="2"/>
  <c r="G13" i="2" s="1"/>
  <c r="E12" i="2"/>
  <c r="F12" i="2" s="1"/>
  <c r="E11" i="2"/>
  <c r="G11" i="2" s="1"/>
  <c r="E10" i="2"/>
  <c r="F10" i="2" s="1"/>
  <c r="E9" i="2"/>
  <c r="E8" i="2"/>
  <c r="F8" i="2" s="1"/>
  <c r="E7" i="2"/>
  <c r="E6" i="2"/>
  <c r="E5" i="2"/>
  <c r="E4" i="2"/>
  <c r="F4" i="2" s="1"/>
  <c r="D7" i="1"/>
  <c r="D6" i="1"/>
  <c r="D5" i="1"/>
  <c r="B3" i="1"/>
  <c r="G14" i="6" l="1"/>
  <c r="G15" i="6"/>
  <c r="H13" i="2"/>
  <c r="F13" i="2"/>
  <c r="F6" i="2"/>
  <c r="I6" i="2" s="1"/>
  <c r="J6" i="2" s="1"/>
  <c r="F7" i="2"/>
  <c r="I7" i="2" s="1"/>
  <c r="J7" i="2" s="1"/>
  <c r="G10" i="2"/>
  <c r="I10" i="2" s="1"/>
  <c r="J10" i="2" s="1"/>
  <c r="H10" i="2"/>
  <c r="G7" i="2"/>
  <c r="H7" i="2"/>
  <c r="G6" i="2"/>
  <c r="H6" i="2"/>
  <c r="H11" i="2"/>
  <c r="H12" i="2"/>
  <c r="G12" i="2"/>
  <c r="H8" i="2"/>
  <c r="G8" i="2"/>
  <c r="I8" i="2" s="1"/>
  <c r="J8" i="2" s="1"/>
  <c r="G4" i="2"/>
  <c r="H4" i="2"/>
  <c r="I4" i="2"/>
  <c r="F11" i="2"/>
  <c r="I11" i="2" s="1"/>
  <c r="J11" i="2" s="1"/>
  <c r="F5" i="2"/>
  <c r="G5" i="2"/>
  <c r="H5" i="2"/>
  <c r="G9" i="2"/>
  <c r="F9" i="2"/>
  <c r="H9" i="2"/>
  <c r="I13" i="2" l="1"/>
  <c r="J13" i="2" s="1"/>
  <c r="G16" i="6"/>
  <c r="G17" i="6"/>
  <c r="G18" i="6"/>
  <c r="J4" i="2"/>
  <c r="C17" i="2"/>
  <c r="I12" i="2"/>
  <c r="J12" i="2" s="1"/>
  <c r="I5" i="2"/>
  <c r="J5" i="2" s="1"/>
  <c r="I9" i="2"/>
  <c r="J9" i="2" s="1"/>
  <c r="C18" i="2" l="1"/>
  <c r="C15" i="2"/>
  <c r="C16" i="2"/>
  <c r="C20" i="2"/>
  <c r="C19" i="2"/>
</calcChain>
</file>

<file path=xl/sharedStrings.xml><?xml version="1.0" encoding="utf-8"?>
<sst xmlns="http://schemas.openxmlformats.org/spreadsheetml/2006/main" count="181" uniqueCount="154">
  <si>
    <t>Manuel Enrique Báez Sanabria</t>
  </si>
  <si>
    <t>Estudiante</t>
  </si>
  <si>
    <t>precio</t>
  </si>
  <si>
    <t>cantidad</t>
  </si>
  <si>
    <t>total</t>
  </si>
  <si>
    <t>Articulo</t>
  </si>
  <si>
    <t>PC</t>
  </si>
  <si>
    <t>DD</t>
  </si>
  <si>
    <t>RAM</t>
  </si>
  <si>
    <t>Nombre</t>
  </si>
  <si>
    <t>Salario Por Hora</t>
  </si>
  <si>
    <t>Horas de Trabajo</t>
  </si>
  <si>
    <t>Salario</t>
  </si>
  <si>
    <t>Cristian Chavez</t>
  </si>
  <si>
    <t>Federico Comez</t>
  </si>
  <si>
    <t>John Alvarado</t>
  </si>
  <si>
    <t xml:space="preserve">Max Chacón </t>
  </si>
  <si>
    <t>Félix Mora</t>
  </si>
  <si>
    <t>Sam Fernanadez</t>
  </si>
  <si>
    <t>James Arias</t>
  </si>
  <si>
    <t>Sergio Hernandez</t>
  </si>
  <si>
    <t>Rosibel Garcia</t>
  </si>
  <si>
    <t>Percy Corrales</t>
  </si>
  <si>
    <t>I Trimestre</t>
  </si>
  <si>
    <t>Empresa Comercial SA</t>
  </si>
  <si>
    <t>CCSS 9%</t>
  </si>
  <si>
    <t>Banco Popular 5%</t>
  </si>
  <si>
    <t>JUPEMA 7%</t>
  </si>
  <si>
    <t xml:space="preserve">Salario Neto </t>
  </si>
  <si>
    <t>Condición</t>
  </si>
  <si>
    <t xml:space="preserve">Estudiante </t>
  </si>
  <si>
    <t>II Trimestre</t>
  </si>
  <si>
    <t>III Trimestre</t>
  </si>
  <si>
    <t>Anual</t>
  </si>
  <si>
    <t>Leonardo Aguilar</t>
  </si>
  <si>
    <t>Federico Garcia</t>
  </si>
  <si>
    <t>Alfonso Paniagua</t>
  </si>
  <si>
    <t>Reinaldo Carmona</t>
  </si>
  <si>
    <t>James Cordoba</t>
  </si>
  <si>
    <t>Francisco Jimenez</t>
  </si>
  <si>
    <t>Johnathan Rodriguez</t>
  </si>
  <si>
    <t>Miguel Mora</t>
  </si>
  <si>
    <t>Paco Fernandez</t>
  </si>
  <si>
    <t>CEDES DON BOSCO</t>
  </si>
  <si>
    <t>INFO DESARROLLO</t>
  </si>
  <si>
    <t>Cantidad de Estudiantes</t>
  </si>
  <si>
    <t>Anual Mayor</t>
  </si>
  <si>
    <t>Anual Menor</t>
  </si>
  <si>
    <t>Anuales &gt;85</t>
  </si>
  <si>
    <t>Total de aprobados</t>
  </si>
  <si>
    <t>Total de aplazados</t>
  </si>
  <si>
    <t>Total de reprobados</t>
  </si>
  <si>
    <t>George Azofeifa</t>
  </si>
  <si>
    <t>Total de empleados</t>
  </si>
  <si>
    <t>Salario Neto Mayor</t>
  </si>
  <si>
    <t>Salario Neto Menor</t>
  </si>
  <si>
    <t>Sal Netos&gt;450000</t>
  </si>
  <si>
    <t>Total Clase A</t>
  </si>
  <si>
    <t>Total Clase B</t>
  </si>
  <si>
    <t>Total Clase C</t>
  </si>
  <si>
    <t>Código</t>
  </si>
  <si>
    <t>Artículos</t>
  </si>
  <si>
    <t>Marca</t>
  </si>
  <si>
    <t>Precio Compra</t>
  </si>
  <si>
    <t xml:space="preserve">Impuesto </t>
  </si>
  <si>
    <t>Precio de Venta</t>
  </si>
  <si>
    <t>Celular</t>
  </si>
  <si>
    <t>Lava Platos</t>
  </si>
  <si>
    <t>Plancha</t>
  </si>
  <si>
    <t>Desktop</t>
  </si>
  <si>
    <t>Laptop</t>
  </si>
  <si>
    <t>PS4</t>
  </si>
  <si>
    <t>Cocina</t>
  </si>
  <si>
    <t>Lavadora</t>
  </si>
  <si>
    <t>Tablet</t>
  </si>
  <si>
    <t>LG</t>
  </si>
  <si>
    <t>Frigerade</t>
  </si>
  <si>
    <t>Oster</t>
  </si>
  <si>
    <t>Whirpool</t>
  </si>
  <si>
    <t>HP</t>
  </si>
  <si>
    <t>Apple</t>
  </si>
  <si>
    <t>Dell</t>
  </si>
  <si>
    <t>Sony</t>
  </si>
  <si>
    <t>Mabe</t>
  </si>
  <si>
    <t>AOC</t>
  </si>
  <si>
    <t>Impuesto Porcentual</t>
  </si>
  <si>
    <t>Artículo</t>
  </si>
  <si>
    <t>Precio de compra</t>
  </si>
  <si>
    <t>Precio de venta</t>
  </si>
  <si>
    <t xml:space="preserve">Código </t>
  </si>
  <si>
    <t>Cantidad</t>
  </si>
  <si>
    <t>Valor</t>
  </si>
  <si>
    <t>Subtotal</t>
  </si>
  <si>
    <t>Descuento</t>
  </si>
  <si>
    <t>IV 5%</t>
  </si>
  <si>
    <t>Subtotal con IV</t>
  </si>
  <si>
    <t xml:space="preserve">Total </t>
  </si>
  <si>
    <t>#</t>
  </si>
  <si>
    <t>Descuento Porcentual</t>
  </si>
  <si>
    <t xml:space="preserve">Equipo Local </t>
  </si>
  <si>
    <t xml:space="preserve">Equipo Visitante  </t>
  </si>
  <si>
    <t>Limón</t>
  </si>
  <si>
    <t>Alajuela</t>
  </si>
  <si>
    <t>Heredia</t>
  </si>
  <si>
    <t>San Carlos</t>
  </si>
  <si>
    <t xml:space="preserve">Cartagines </t>
  </si>
  <si>
    <t>Saprissa</t>
  </si>
  <si>
    <t>UCR</t>
  </si>
  <si>
    <t>Carmelita</t>
  </si>
  <si>
    <t>Marcador</t>
  </si>
  <si>
    <t>Ganadores</t>
  </si>
  <si>
    <t>Calculos</t>
  </si>
  <si>
    <t>Perdedores</t>
  </si>
  <si>
    <t>Empate</t>
  </si>
  <si>
    <t>Diferencia</t>
  </si>
  <si>
    <t>I Trim</t>
  </si>
  <si>
    <t>II Trim</t>
  </si>
  <si>
    <t>III Trim</t>
  </si>
  <si>
    <t>Jugador X</t>
  </si>
  <si>
    <t>Jugador O</t>
  </si>
  <si>
    <t>Cedula</t>
  </si>
  <si>
    <t># De Lecciones</t>
  </si>
  <si>
    <t>Grado Academico</t>
  </si>
  <si>
    <t xml:space="preserve">Sal x Leccion </t>
  </si>
  <si>
    <t xml:space="preserve">Sal Base </t>
  </si>
  <si>
    <t>ANDE 5%</t>
  </si>
  <si>
    <t>CCSS</t>
  </si>
  <si>
    <t>CCSS 13%</t>
  </si>
  <si>
    <t>Sal Neto</t>
  </si>
  <si>
    <t>S Neto Mayor A 500000</t>
  </si>
  <si>
    <t>Total De Bachiller</t>
  </si>
  <si>
    <t>Total De Aspirantes</t>
  </si>
  <si>
    <t>Pablo Alvarado</t>
  </si>
  <si>
    <t>Nestor Cruz</t>
  </si>
  <si>
    <t>Elias Carmona</t>
  </si>
  <si>
    <t>Juan Araya</t>
  </si>
  <si>
    <t>Randall Jimenez</t>
  </si>
  <si>
    <t>Alejo Barejo</t>
  </si>
  <si>
    <t>Filiberto Martinez</t>
  </si>
  <si>
    <t>Ignacio Abarca</t>
  </si>
  <si>
    <t>Rosa Sanchez</t>
  </si>
  <si>
    <t>Fernando Del Castillo</t>
  </si>
  <si>
    <t>Ficha Docente</t>
  </si>
  <si>
    <t xml:space="preserve">Sal X Leccion </t>
  </si>
  <si>
    <t>Sal Base</t>
  </si>
  <si>
    <t>Ande</t>
  </si>
  <si>
    <t>Jueves</t>
  </si>
  <si>
    <t>Viernes</t>
  </si>
  <si>
    <t>Sábado</t>
  </si>
  <si>
    <t>Domingo</t>
  </si>
  <si>
    <t>Lunes</t>
  </si>
  <si>
    <t>Martes</t>
  </si>
  <si>
    <t>Miércoles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</si>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</sst>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₡&quot;#,##0.00"/>
    <numFmt numFmtId="165" formatCode="&quot;₡&quot;#,##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20"/>
      <color theme="1"/>
      <name val="Times New Roman"/>
      <family val="1"/>
    </font>
    <font>
      <sz val="20"/>
      <color theme="0"/>
      <name val="Times New Roman"/>
      <family val="1"/>
    </font>
    <font>
      <sz val="28"/>
      <color theme="1"/>
      <name val="Times New Roman"/>
      <family val="1"/>
    </font>
    <font>
      <sz val="36"/>
      <color theme="0"/>
      <name val="Calibri"/>
      <family val="2"/>
      <scheme val="minor"/>
    </font>
    <font>
      <sz val="18"/>
      <color theme="1"/>
      <name val="Adobe Caslon Pro"/>
      <family val="1"/>
    </font>
  </fonts>
  <fills count="4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9FF3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>
      <alignment vertical="center"/>
    </xf>
    <xf numFmtId="0" fontId="2" fillId="6" borderId="1" xfId="0" applyFont="1" applyFill="1" applyBorder="1"/>
    <xf numFmtId="0" fontId="2" fillId="13" borderId="1" xfId="0" applyFont="1" applyFill="1" applyBorder="1"/>
    <xf numFmtId="0" fontId="2" fillId="4" borderId="1" xfId="0" applyFont="1" applyFill="1" applyBorder="1"/>
    <xf numFmtId="0" fontId="2" fillId="10" borderId="1" xfId="0" applyFont="1" applyFill="1" applyBorder="1"/>
    <xf numFmtId="0" fontId="2" fillId="17" borderId="1" xfId="0" applyFont="1" applyFill="1" applyBorder="1"/>
    <xf numFmtId="0" fontId="2" fillId="11" borderId="1" xfId="0" applyFont="1" applyFill="1" applyBorder="1"/>
    <xf numFmtId="0" fontId="3" fillId="19" borderId="1" xfId="0" applyFont="1" applyFill="1" applyBorder="1"/>
    <xf numFmtId="0" fontId="3" fillId="18" borderId="1" xfId="0" applyFont="1" applyFill="1" applyBorder="1"/>
    <xf numFmtId="0" fontId="2" fillId="7" borderId="1" xfId="0" applyFont="1" applyFill="1" applyBorder="1"/>
    <xf numFmtId="164" fontId="2" fillId="8" borderId="1" xfId="0" applyNumberFormat="1" applyFont="1" applyFill="1" applyBorder="1"/>
    <xf numFmtId="0" fontId="2" fillId="3" borderId="1" xfId="0" applyFont="1" applyFill="1" applyBorder="1"/>
    <xf numFmtId="164" fontId="2" fillId="14" borderId="1" xfId="0" applyNumberFormat="1" applyFont="1" applyFill="1" applyBorder="1"/>
    <xf numFmtId="164" fontId="0" fillId="16" borderId="1" xfId="0" applyNumberFormat="1" applyFill="1" applyBorder="1"/>
    <xf numFmtId="164" fontId="0" fillId="12" borderId="1" xfId="0" applyNumberFormat="1" applyFill="1" applyBorder="1"/>
    <xf numFmtId="164" fontId="0" fillId="15" borderId="1" xfId="0" applyNumberFormat="1" applyFill="1" applyBorder="1"/>
    <xf numFmtId="164" fontId="0" fillId="3" borderId="1" xfId="0" applyNumberFormat="1" applyFill="1" applyBorder="1"/>
    <xf numFmtId="0" fontId="1" fillId="20" borderId="1" xfId="0" applyFont="1" applyFill="1" applyBorder="1"/>
    <xf numFmtId="0" fontId="2" fillId="0" borderId="0" xfId="0" applyFont="1"/>
    <xf numFmtId="0" fontId="2" fillId="26" borderId="1" xfId="0" applyFont="1" applyFill="1" applyBorder="1"/>
    <xf numFmtId="0" fontId="2" fillId="28" borderId="1" xfId="0" applyFont="1" applyFill="1" applyBorder="1"/>
    <xf numFmtId="0" fontId="2" fillId="29" borderId="1" xfId="0" applyFont="1" applyFill="1" applyBorder="1"/>
    <xf numFmtId="0" fontId="2" fillId="30" borderId="1" xfId="0" applyFont="1" applyFill="1" applyBorder="1"/>
    <xf numFmtId="0" fontId="2" fillId="31" borderId="1" xfId="0" applyFont="1" applyFill="1" applyBorder="1"/>
    <xf numFmtId="0" fontId="2" fillId="16" borderId="1" xfId="0" applyFont="1" applyFill="1" applyBorder="1"/>
    <xf numFmtId="0" fontId="3" fillId="20" borderId="1" xfId="0" applyFont="1" applyFill="1" applyBorder="1"/>
    <xf numFmtId="0" fontId="5" fillId="14" borderId="1" xfId="0" applyFont="1" applyFill="1" applyBorder="1"/>
    <xf numFmtId="0" fontId="0" fillId="21" borderId="1" xfId="0" applyFill="1" applyBorder="1"/>
    <xf numFmtId="0" fontId="0" fillId="33" borderId="1" xfId="0" applyFill="1" applyBorder="1"/>
    <xf numFmtId="0" fontId="0" fillId="10" borderId="1" xfId="0" applyFill="1" applyBorder="1"/>
    <xf numFmtId="0" fontId="6" fillId="6" borderId="1" xfId="0" applyFont="1" applyFill="1" applyBorder="1"/>
    <xf numFmtId="0" fontId="0" fillId="22" borderId="1" xfId="0" applyFill="1" applyBorder="1"/>
    <xf numFmtId="164" fontId="0" fillId="21" borderId="1" xfId="0" applyNumberFormat="1" applyFill="1" applyBorder="1"/>
    <xf numFmtId="0" fontId="0" fillId="5" borderId="1" xfId="0" applyFill="1" applyBorder="1"/>
    <xf numFmtId="0" fontId="0" fillId="9" borderId="1" xfId="0" applyFill="1" applyBorder="1"/>
    <xf numFmtId="0" fontId="0" fillId="25" borderId="1" xfId="0" applyFill="1" applyBorder="1"/>
    <xf numFmtId="0" fontId="0" fillId="14" borderId="1" xfId="0" applyFill="1" applyBorder="1"/>
    <xf numFmtId="0" fontId="0" fillId="27" borderId="1" xfId="0" applyFill="1" applyBorder="1"/>
    <xf numFmtId="0" fontId="0" fillId="6" borderId="1" xfId="0" applyFill="1" applyBorder="1"/>
    <xf numFmtId="164" fontId="0" fillId="7" borderId="1" xfId="0" applyNumberFormat="1" applyFill="1" applyBorder="1"/>
    <xf numFmtId="0" fontId="0" fillId="30" borderId="1" xfId="0" applyFill="1" applyBorder="1"/>
    <xf numFmtId="0" fontId="0" fillId="31" borderId="1" xfId="0" applyFill="1" applyBorder="1"/>
    <xf numFmtId="0" fontId="0" fillId="16" borderId="1" xfId="0" applyFill="1" applyBorder="1" applyAlignment="1">
      <alignment horizontal="center" vertical="center"/>
    </xf>
    <xf numFmtId="164" fontId="0" fillId="29" borderId="1" xfId="0" applyNumberFormat="1" applyFill="1" applyBorder="1" applyAlignment="1">
      <alignment horizontal="center" vertical="center"/>
    </xf>
    <xf numFmtId="164" fontId="0" fillId="24" borderId="1" xfId="0" applyNumberFormat="1" applyFill="1" applyBorder="1" applyAlignment="1">
      <alignment horizontal="center" vertical="center"/>
    </xf>
    <xf numFmtId="0" fontId="1" fillId="5" borderId="1" xfId="0" applyFont="1" applyFill="1" applyBorder="1"/>
    <xf numFmtId="0" fontId="1" fillId="34" borderId="1" xfId="0" applyFont="1" applyFill="1" applyBorder="1"/>
    <xf numFmtId="0" fontId="0" fillId="35" borderId="1" xfId="0" applyFill="1" applyBorder="1"/>
    <xf numFmtId="0" fontId="2" fillId="34" borderId="0" xfId="0" applyFont="1" applyFill="1" applyAlignment="1">
      <alignment horizontal="center" vertical="center"/>
    </xf>
    <xf numFmtId="0" fontId="3" fillId="37" borderId="1" xfId="0" applyFont="1" applyFill="1" applyBorder="1"/>
    <xf numFmtId="0" fontId="2" fillId="39" borderId="1" xfId="0" applyFont="1" applyFill="1" applyBorder="1"/>
    <xf numFmtId="0" fontId="2" fillId="28" borderId="2" xfId="0" applyFont="1" applyFill="1" applyBorder="1"/>
    <xf numFmtId="0" fontId="2" fillId="26" borderId="2" xfId="0" applyFont="1" applyFill="1" applyBorder="1"/>
    <xf numFmtId="0" fontId="2" fillId="15" borderId="1" xfId="0" applyFont="1" applyFill="1" applyBorder="1" applyAlignment="1">
      <alignment horizontal="center"/>
    </xf>
    <xf numFmtId="0" fontId="2" fillId="38" borderId="1" xfId="0" applyFont="1" applyFill="1" applyBorder="1"/>
    <xf numFmtId="0" fontId="2" fillId="22" borderId="1" xfId="0" applyFont="1" applyFill="1" applyBorder="1"/>
    <xf numFmtId="0" fontId="2" fillId="10" borderId="2" xfId="0" applyFont="1" applyFill="1" applyBorder="1"/>
    <xf numFmtId="164" fontId="2" fillId="6" borderId="2" xfId="0" applyNumberFormat="1" applyFont="1" applyFill="1" applyBorder="1"/>
    <xf numFmtId="164" fontId="2" fillId="16" borderId="1" xfId="0" applyNumberFormat="1" applyFont="1" applyFill="1" applyBorder="1"/>
    <xf numFmtId="0" fontId="2" fillId="6" borderId="2" xfId="0" applyFont="1" applyFill="1" applyBorder="1"/>
    <xf numFmtId="0" fontId="2" fillId="36" borderId="0" xfId="0" applyFont="1" applyFill="1"/>
    <xf numFmtId="0" fontId="2" fillId="36" borderId="0" xfId="0" applyFont="1" applyFill="1" applyBorder="1"/>
    <xf numFmtId="0" fontId="2" fillId="36" borderId="1" xfId="0" applyFont="1" applyFill="1" applyBorder="1"/>
    <xf numFmtId="0" fontId="2" fillId="5" borderId="1" xfId="0" applyFont="1" applyFill="1" applyBorder="1"/>
    <xf numFmtId="164" fontId="2" fillId="9" borderId="1" xfId="0" applyNumberFormat="1" applyFont="1" applyFill="1" applyBorder="1"/>
    <xf numFmtId="164" fontId="2" fillId="9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28" borderId="1" xfId="0" applyFont="1" applyFill="1" applyBorder="1"/>
    <xf numFmtId="0" fontId="7" fillId="26" borderId="1" xfId="0" applyFont="1" applyFill="1" applyBorder="1"/>
    <xf numFmtId="0" fontId="8" fillId="31" borderId="1" xfId="0" applyFont="1" applyFill="1" applyBorder="1"/>
    <xf numFmtId="0" fontId="4" fillId="38" borderId="1" xfId="0" applyFont="1" applyFill="1" applyBorder="1"/>
    <xf numFmtId="0" fontId="4" fillId="4" borderId="1" xfId="0" applyFont="1" applyFill="1" applyBorder="1"/>
    <xf numFmtId="0" fontId="7" fillId="9" borderId="1" xfId="0" applyFont="1" applyFill="1" applyBorder="1"/>
    <xf numFmtId="0" fontId="7" fillId="10" borderId="1" xfId="0" applyFont="1" applyFill="1" applyBorder="1"/>
    <xf numFmtId="0" fontId="7" fillId="29" borderId="1" xfId="0" applyFont="1" applyFill="1" applyBorder="1" applyAlignment="1">
      <alignment horizontal="center"/>
    </xf>
    <xf numFmtId="0" fontId="7" fillId="6" borderId="1" xfId="0" applyFont="1" applyFill="1" applyBorder="1"/>
    <xf numFmtId="0" fontId="7" fillId="16" borderId="1" xfId="0" applyFont="1" applyFill="1" applyBorder="1" applyAlignment="1">
      <alignment horizontal="center"/>
    </xf>
    <xf numFmtId="0" fontId="7" fillId="40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15" borderId="8" xfId="0" applyFont="1" applyFill="1" applyBorder="1"/>
    <xf numFmtId="0" fontId="7" fillId="15" borderId="1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9" fillId="32" borderId="0" xfId="0" applyFont="1" applyFill="1" applyBorder="1"/>
    <xf numFmtId="0" fontId="10" fillId="41" borderId="0" xfId="0" applyFont="1" applyFill="1" applyBorder="1"/>
    <xf numFmtId="0" fontId="11" fillId="0" borderId="1" xfId="0" applyFont="1" applyBorder="1" applyAlignment="1">
      <alignment horizontal="center"/>
    </xf>
    <xf numFmtId="0" fontId="1" fillId="0" borderId="0" xfId="0" applyFont="1"/>
    <xf numFmtId="0" fontId="0" fillId="36" borderId="0" xfId="0" applyFill="1"/>
    <xf numFmtId="0" fontId="0" fillId="36" borderId="0" xfId="0" applyFill="1" applyBorder="1"/>
    <xf numFmtId="0" fontId="0" fillId="36" borderId="0" xfId="0" applyFill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0" fontId="1" fillId="36" borderId="15" xfId="0" applyFont="1" applyFill="1" applyBorder="1" applyAlignment="1">
      <alignment horizontal="center"/>
    </xf>
    <xf numFmtId="0" fontId="1" fillId="39" borderId="1" xfId="0" applyFont="1" applyFill="1" applyBorder="1"/>
    <xf numFmtId="0" fontId="1" fillId="22" borderId="1" xfId="0" applyFont="1" applyFill="1" applyBorder="1" applyAlignment="1">
      <alignment horizontal="center"/>
    </xf>
    <xf numFmtId="0" fontId="1" fillId="22" borderId="15" xfId="0" applyFont="1" applyFill="1" applyBorder="1" applyAlignment="1">
      <alignment horizontal="center"/>
    </xf>
    <xf numFmtId="0" fontId="0" fillId="42" borderId="16" xfId="0" applyFill="1" applyBorder="1"/>
    <xf numFmtId="0" fontId="0" fillId="42" borderId="4" xfId="0" applyFill="1" applyBorder="1"/>
    <xf numFmtId="0" fontId="1" fillId="28" borderId="1" xfId="0" applyFont="1" applyFill="1" applyBorder="1"/>
    <xf numFmtId="0" fontId="0" fillId="10" borderId="15" xfId="0" applyFill="1" applyBorder="1"/>
    <xf numFmtId="0" fontId="1" fillId="25" borderId="1" xfId="0" applyFont="1" applyFill="1" applyBorder="1"/>
    <xf numFmtId="0" fontId="0" fillId="17" borderId="1" xfId="0" applyFill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26" borderId="1" xfId="0" applyFill="1" applyBorder="1"/>
    <xf numFmtId="0" fontId="0" fillId="6" borderId="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65" fontId="0" fillId="15" borderId="1" xfId="0" applyNumberFormat="1" applyFill="1" applyBorder="1" applyAlignment="1">
      <alignment horizontal="center"/>
    </xf>
    <xf numFmtId="165" fontId="0" fillId="15" borderId="15" xfId="0" applyNumberFormat="1" applyFill="1" applyBorder="1" applyAlignment="1">
      <alignment horizontal="center"/>
    </xf>
    <xf numFmtId="3" fontId="0" fillId="29" borderId="1" xfId="0" applyNumberFormat="1" applyFill="1" applyBorder="1"/>
    <xf numFmtId="3" fontId="0" fillId="29" borderId="15" xfId="0" applyNumberFormat="1" applyFill="1" applyBorder="1"/>
    <xf numFmtId="3" fontId="0" fillId="24" borderId="1" xfId="0" applyNumberFormat="1" applyFill="1" applyBorder="1"/>
    <xf numFmtId="3" fontId="0" fillId="24" borderId="15" xfId="0" applyNumberFormat="1" applyFill="1" applyBorder="1"/>
    <xf numFmtId="0" fontId="0" fillId="43" borderId="1" xfId="0" applyFill="1" applyBorder="1"/>
    <xf numFmtId="3" fontId="0" fillId="44" borderId="1" xfId="0" applyNumberFormat="1" applyFill="1" applyBorder="1"/>
    <xf numFmtId="3" fontId="0" fillId="44" borderId="15" xfId="0" applyNumberFormat="1" applyFill="1" applyBorder="1"/>
    <xf numFmtId="0" fontId="1" fillId="32" borderId="1" xfId="0" applyFont="1" applyFill="1" applyBorder="1"/>
    <xf numFmtId="3" fontId="0" fillId="45" borderId="1" xfId="0" applyNumberFormat="1" applyFill="1" applyBorder="1"/>
    <xf numFmtId="3" fontId="0" fillId="45" borderId="15" xfId="0" applyNumberFormat="1" applyFill="1" applyBorder="1"/>
    <xf numFmtId="3" fontId="0" fillId="46" borderId="8" xfId="0" applyNumberFormat="1" applyFill="1" applyBorder="1"/>
    <xf numFmtId="3" fontId="0" fillId="46" borderId="1" xfId="0" applyNumberFormat="1" applyFill="1" applyBorder="1"/>
    <xf numFmtId="0" fontId="0" fillId="46" borderId="1" xfId="0" applyFill="1" applyBorder="1"/>
    <xf numFmtId="0" fontId="7" fillId="28" borderId="1" xfId="0" applyFont="1" applyFill="1" applyBorder="1"/>
    <xf numFmtId="0" fontId="7" fillId="34" borderId="1" xfId="0" applyFont="1" applyFill="1" applyBorder="1"/>
    <xf numFmtId="0" fontId="7" fillId="30" borderId="1" xfId="0" applyFont="1" applyFill="1" applyBorder="1"/>
    <xf numFmtId="0" fontId="4" fillId="37" borderId="1" xfId="0" applyFont="1" applyFill="1" applyBorder="1"/>
    <xf numFmtId="0" fontId="7" fillId="22" borderId="1" xfId="0" applyFont="1" applyFill="1" applyBorder="1"/>
    <xf numFmtId="0" fontId="7" fillId="1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31" borderId="1" xfId="0" applyFont="1" applyFill="1" applyBorder="1"/>
    <xf numFmtId="0" fontId="7" fillId="25" borderId="1" xfId="0" applyFont="1" applyFill="1" applyBorder="1"/>
    <xf numFmtId="0" fontId="7" fillId="27" borderId="1" xfId="0" applyFont="1" applyFill="1" applyBorder="1"/>
    <xf numFmtId="0" fontId="7" fillId="3" borderId="1" xfId="0" applyFont="1" applyFill="1" applyBorder="1" applyAlignment="1">
      <alignment horizontal="center"/>
    </xf>
    <xf numFmtId="1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 textRotation="90"/>
    </xf>
    <xf numFmtId="0" fontId="1" fillId="32" borderId="1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0" fontId="4" fillId="34" borderId="2" xfId="0" applyFont="1" applyFill="1" applyBorder="1" applyAlignment="1">
      <alignment horizontal="center"/>
    </xf>
    <xf numFmtId="0" fontId="4" fillId="34" borderId="4" xfId="0" applyFont="1" applyFill="1" applyBorder="1" applyAlignment="1">
      <alignment horizontal="center"/>
    </xf>
    <xf numFmtId="0" fontId="12" fillId="34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" fillId="3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4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4" fillId="23" borderId="5" xfId="0" applyFont="1" applyFill="1" applyBorder="1" applyAlignment="1">
      <alignment horizontal="center" vertical="center" textRotation="90"/>
    </xf>
    <xf numFmtId="0" fontId="4" fillId="23" borderId="6" xfId="0" applyFont="1" applyFill="1" applyBorder="1" applyAlignment="1">
      <alignment horizontal="center" vertical="center" textRotation="90"/>
    </xf>
    <xf numFmtId="0" fontId="9" fillId="26" borderId="0" xfId="0" applyFont="1" applyFill="1" applyBorder="1"/>
    <xf numFmtId="0" fontId="13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2">
    <dxf>
      <font>
        <color theme="9" tint="-0.24994659260841701"/>
      </font>
    </dxf>
    <dxf>
      <font>
        <color rgb="FF9C0006"/>
      </font>
    </dxf>
    <dxf>
      <font>
        <color theme="1" tint="0.1499679555650502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font>
        <color rgb="FFFFFF00"/>
      </font>
    </dxf>
    <dxf>
      <font>
        <color rgb="FFFFFF00"/>
      </font>
    </dxf>
    <dxf>
      <font>
        <color theme="4" tint="-0.499984740745262"/>
      </font>
    </dxf>
    <dxf>
      <font>
        <color rgb="FFFF0000"/>
      </font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4"/>
      </font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4" tint="-0.499984740745262"/>
      </font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4"/>
      </font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4"/>
      </font>
      <fill>
        <patternFill>
          <bgColor theme="5" tint="0.59996337778862885"/>
        </patternFill>
      </fill>
    </dxf>
    <dxf>
      <font>
        <b val="0"/>
        <i val="0"/>
      </font>
      <fill>
        <patternFill>
          <bgColor theme="8" tint="-0.499984740745262"/>
        </patternFill>
      </fill>
      <border>
        <vertical/>
        <horizontal/>
      </border>
    </dxf>
    <dxf>
      <font>
        <color theme="8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theme="4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font>
        <color theme="8"/>
      </font>
    </dxf>
    <dxf>
      <font>
        <color theme="9"/>
      </font>
    </dxf>
  </dxfs>
  <tableStyles count="0" defaultTableStyle="TableStyleMedium2" defaultPivotStyle="PivotStyleLight16"/>
  <colors>
    <mruColors>
      <color rgb="FFFF3300"/>
      <color rgb="FF99FF33"/>
      <color rgb="FFFFCC66"/>
      <color rgb="FFFF9933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Planilla!$B$4:$B$13</c:f>
              <c:strCache>
                <c:ptCount val="10"/>
                <c:pt idx="0">
                  <c:v>Cristian Chavez</c:v>
                </c:pt>
                <c:pt idx="1">
                  <c:v>Federico Comez</c:v>
                </c:pt>
                <c:pt idx="2">
                  <c:v>John Alvarado</c:v>
                </c:pt>
                <c:pt idx="3">
                  <c:v>Max Chacón </c:v>
                </c:pt>
                <c:pt idx="4">
                  <c:v>Félix Mora</c:v>
                </c:pt>
                <c:pt idx="5">
                  <c:v>Sam Fernanadez</c:v>
                </c:pt>
                <c:pt idx="6">
                  <c:v>James Arias</c:v>
                </c:pt>
                <c:pt idx="7">
                  <c:v>Sergio Hernandez</c:v>
                </c:pt>
                <c:pt idx="8">
                  <c:v>Rosibel Garcia</c:v>
                </c:pt>
                <c:pt idx="9">
                  <c:v>Percy Corrales</c:v>
                </c:pt>
              </c:strCache>
            </c:strRef>
          </c:cat>
          <c:val>
            <c:numRef>
              <c:f>Planilla!$E$4:$E$13</c:f>
              <c:numCache>
                <c:formatCode>"₡"#,##0.00</c:formatCode>
                <c:ptCount val="10"/>
                <c:pt idx="0">
                  <c:v>429000</c:v>
                </c:pt>
                <c:pt idx="1">
                  <c:v>1960000</c:v>
                </c:pt>
                <c:pt idx="2">
                  <c:v>250000</c:v>
                </c:pt>
                <c:pt idx="3">
                  <c:v>900000</c:v>
                </c:pt>
                <c:pt idx="4">
                  <c:v>1625000</c:v>
                </c:pt>
                <c:pt idx="5">
                  <c:v>810000</c:v>
                </c:pt>
                <c:pt idx="6">
                  <c:v>368000</c:v>
                </c:pt>
                <c:pt idx="7">
                  <c:v>783900</c:v>
                </c:pt>
                <c:pt idx="8">
                  <c:v>835200</c:v>
                </c:pt>
                <c:pt idx="9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E-4FC5-A837-A0379ABF00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Planilla!$B$4:$B$13</c:f>
              <c:strCache>
                <c:ptCount val="10"/>
                <c:pt idx="0">
                  <c:v>Cristian Chavez</c:v>
                </c:pt>
                <c:pt idx="1">
                  <c:v>Federico Comez</c:v>
                </c:pt>
                <c:pt idx="2">
                  <c:v>John Alvarado</c:v>
                </c:pt>
                <c:pt idx="3">
                  <c:v>Max Chacón </c:v>
                </c:pt>
                <c:pt idx="4">
                  <c:v>Félix Mora</c:v>
                </c:pt>
                <c:pt idx="5">
                  <c:v>Sam Fernanadez</c:v>
                </c:pt>
                <c:pt idx="6">
                  <c:v>James Arias</c:v>
                </c:pt>
                <c:pt idx="7">
                  <c:v>Sergio Hernandez</c:v>
                </c:pt>
                <c:pt idx="8">
                  <c:v>Rosibel Garcia</c:v>
                </c:pt>
                <c:pt idx="9">
                  <c:v>Percy Corrales</c:v>
                </c:pt>
              </c:strCache>
            </c:strRef>
          </c:cat>
          <c:val>
            <c:numRef>
              <c:f>Planilla!$I$4:$I$13</c:f>
              <c:numCache>
                <c:formatCode>"₡"#,##0.00</c:formatCode>
                <c:ptCount val="10"/>
                <c:pt idx="0">
                  <c:v>338910</c:v>
                </c:pt>
                <c:pt idx="1">
                  <c:v>1548400</c:v>
                </c:pt>
                <c:pt idx="2">
                  <c:v>197500</c:v>
                </c:pt>
                <c:pt idx="3">
                  <c:v>711000</c:v>
                </c:pt>
                <c:pt idx="4">
                  <c:v>1283750</c:v>
                </c:pt>
                <c:pt idx="5">
                  <c:v>639900</c:v>
                </c:pt>
                <c:pt idx="6">
                  <c:v>290720</c:v>
                </c:pt>
                <c:pt idx="7">
                  <c:v>619281</c:v>
                </c:pt>
                <c:pt idx="8">
                  <c:v>659808</c:v>
                </c:pt>
                <c:pt idx="9">
                  <c:v>75840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E-4FC5-A837-A0379ABF0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0861896"/>
        <c:axId val="470867800"/>
        <c:axId val="0"/>
      </c:bar3DChart>
      <c:catAx>
        <c:axId val="47086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70867800"/>
        <c:crosses val="autoZero"/>
        <c:auto val="1"/>
        <c:lblAlgn val="ctr"/>
        <c:lblOffset val="100"/>
        <c:noMultiLvlLbl val="0"/>
      </c:catAx>
      <c:valAx>
        <c:axId val="47086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₡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7086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Gráfico</a:t>
            </a:r>
            <a:r>
              <a:rPr lang="es-CR" baseline="0"/>
              <a:t> Circular</a:t>
            </a:r>
            <a:endParaRPr lang="es-CR"/>
          </a:p>
        </c:rich>
      </c:tx>
      <c:layout>
        <c:manualLayout>
          <c:xMode val="edge"/>
          <c:yMode val="edge"/>
          <c:x val="0.376347112860892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7D1-49C8-A836-793565C046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7D1-49C8-A836-793565C046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7D1-49C8-A836-793565C046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7D1-49C8-A836-793565C046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7D1-49C8-A836-793565C046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7D1-49C8-A836-793565C046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7D1-49C8-A836-793565C046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7D1-49C8-A836-793565C046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7D1-49C8-A836-793565C046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7D1-49C8-A836-793565C046D7}"/>
              </c:ext>
            </c:extLst>
          </c:dPt>
          <c:cat>
            <c:strRef>
              <c:f>Planilla!$B$4:$B$13</c:f>
              <c:strCache>
                <c:ptCount val="10"/>
                <c:pt idx="0">
                  <c:v>Cristian Chavez</c:v>
                </c:pt>
                <c:pt idx="1">
                  <c:v>Federico Comez</c:v>
                </c:pt>
                <c:pt idx="2">
                  <c:v>John Alvarado</c:v>
                </c:pt>
                <c:pt idx="3">
                  <c:v>Max Chacón </c:v>
                </c:pt>
                <c:pt idx="4">
                  <c:v>Félix Mora</c:v>
                </c:pt>
                <c:pt idx="5">
                  <c:v>Sam Fernanadez</c:v>
                </c:pt>
                <c:pt idx="6">
                  <c:v>James Arias</c:v>
                </c:pt>
                <c:pt idx="7">
                  <c:v>Sergio Hernandez</c:v>
                </c:pt>
                <c:pt idx="8">
                  <c:v>Rosibel Garcia</c:v>
                </c:pt>
                <c:pt idx="9">
                  <c:v>Percy Corrales</c:v>
                </c:pt>
              </c:strCache>
            </c:strRef>
          </c:cat>
          <c:val>
            <c:numRef>
              <c:f>Planilla!$C$4:$C$13</c:f>
              <c:numCache>
                <c:formatCode>"₡"#,##0.00</c:formatCode>
                <c:ptCount val="10"/>
                <c:pt idx="0">
                  <c:v>6500</c:v>
                </c:pt>
                <c:pt idx="1">
                  <c:v>20000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15000</c:v>
                </c:pt>
                <c:pt idx="6">
                  <c:v>8000</c:v>
                </c:pt>
                <c:pt idx="7">
                  <c:v>10050</c:v>
                </c:pt>
                <c:pt idx="8">
                  <c:v>8700</c:v>
                </c:pt>
                <c:pt idx="9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2-4E8A-8DAF-79E8678BC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19584"/>
        <c:axId val="467314992"/>
      </c:barChart>
      <c:catAx>
        <c:axId val="46731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67314992"/>
        <c:crosses val="autoZero"/>
        <c:auto val="1"/>
        <c:lblAlgn val="ctr"/>
        <c:lblOffset val="100"/>
        <c:noMultiLvlLbl val="0"/>
      </c:catAx>
      <c:valAx>
        <c:axId val="4673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673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968044619422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Evaluación!$C$3</c:f>
              <c:strCache>
                <c:ptCount val="1"/>
                <c:pt idx="0">
                  <c:v>I Trimestre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Evaluación!$B$4:$B$13</c:f>
              <c:strCache>
                <c:ptCount val="10"/>
                <c:pt idx="0">
                  <c:v>Leonardo Aguilar</c:v>
                </c:pt>
                <c:pt idx="1">
                  <c:v>Federico Garcia</c:v>
                </c:pt>
                <c:pt idx="2">
                  <c:v>Alfonso Paniagua</c:v>
                </c:pt>
                <c:pt idx="3">
                  <c:v>Reinaldo Carmona</c:v>
                </c:pt>
                <c:pt idx="4">
                  <c:v>James Cordoba</c:v>
                </c:pt>
                <c:pt idx="5">
                  <c:v>Francisco Jimenez</c:v>
                </c:pt>
                <c:pt idx="6">
                  <c:v>Johnathan Rodriguez</c:v>
                </c:pt>
                <c:pt idx="7">
                  <c:v>Miguel Mora</c:v>
                </c:pt>
                <c:pt idx="8">
                  <c:v>George Azofeifa</c:v>
                </c:pt>
                <c:pt idx="9">
                  <c:v>Paco Fernandez</c:v>
                </c:pt>
              </c:strCache>
            </c:strRef>
          </c:cat>
          <c:val>
            <c:numRef>
              <c:f>Evaluación!$C$4:$C$13</c:f>
              <c:numCache>
                <c:formatCode>General</c:formatCode>
                <c:ptCount val="10"/>
                <c:pt idx="0">
                  <c:v>64</c:v>
                </c:pt>
                <c:pt idx="1">
                  <c:v>84</c:v>
                </c:pt>
                <c:pt idx="2">
                  <c:v>40</c:v>
                </c:pt>
                <c:pt idx="3">
                  <c:v>87</c:v>
                </c:pt>
                <c:pt idx="4">
                  <c:v>91</c:v>
                </c:pt>
                <c:pt idx="5">
                  <c:v>83</c:v>
                </c:pt>
                <c:pt idx="6">
                  <c:v>25</c:v>
                </c:pt>
                <c:pt idx="7">
                  <c:v>68</c:v>
                </c:pt>
                <c:pt idx="8">
                  <c:v>50</c:v>
                </c:pt>
                <c:pt idx="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3-4F96-8DC1-27823DF84D24}"/>
            </c:ext>
          </c:extLst>
        </c:ser>
        <c:ser>
          <c:idx val="1"/>
          <c:order val="1"/>
          <c:tx>
            <c:strRef>
              <c:f>Evaluación!$D$3</c:f>
              <c:strCache>
                <c:ptCount val="1"/>
                <c:pt idx="0">
                  <c:v>II 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Evaluación!$B$4:$B$13</c:f>
              <c:strCache>
                <c:ptCount val="10"/>
                <c:pt idx="0">
                  <c:v>Leonardo Aguilar</c:v>
                </c:pt>
                <c:pt idx="1">
                  <c:v>Federico Garcia</c:v>
                </c:pt>
                <c:pt idx="2">
                  <c:v>Alfonso Paniagua</c:v>
                </c:pt>
                <c:pt idx="3">
                  <c:v>Reinaldo Carmona</c:v>
                </c:pt>
                <c:pt idx="4">
                  <c:v>James Cordoba</c:v>
                </c:pt>
                <c:pt idx="5">
                  <c:v>Francisco Jimenez</c:v>
                </c:pt>
                <c:pt idx="6">
                  <c:v>Johnathan Rodriguez</c:v>
                </c:pt>
                <c:pt idx="7">
                  <c:v>Miguel Mora</c:v>
                </c:pt>
                <c:pt idx="8">
                  <c:v>George Azofeifa</c:v>
                </c:pt>
                <c:pt idx="9">
                  <c:v>Paco Fernandez</c:v>
                </c:pt>
              </c:strCache>
            </c:strRef>
          </c:cat>
          <c:val>
            <c:numRef>
              <c:f>Evaluación!$D$4:$D$13</c:f>
              <c:numCache>
                <c:formatCode>General</c:formatCode>
                <c:ptCount val="10"/>
                <c:pt idx="0">
                  <c:v>13</c:v>
                </c:pt>
                <c:pt idx="1">
                  <c:v>89</c:v>
                </c:pt>
                <c:pt idx="2">
                  <c:v>71</c:v>
                </c:pt>
                <c:pt idx="3">
                  <c:v>88</c:v>
                </c:pt>
                <c:pt idx="4">
                  <c:v>91</c:v>
                </c:pt>
                <c:pt idx="5">
                  <c:v>84</c:v>
                </c:pt>
                <c:pt idx="6">
                  <c:v>100</c:v>
                </c:pt>
                <c:pt idx="7">
                  <c:v>100</c:v>
                </c:pt>
                <c:pt idx="8">
                  <c:v>87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3-4F96-8DC1-27823DF84D24}"/>
            </c:ext>
          </c:extLst>
        </c:ser>
        <c:ser>
          <c:idx val="2"/>
          <c:order val="2"/>
          <c:tx>
            <c:strRef>
              <c:f>Evaluación!$E$3</c:f>
              <c:strCache>
                <c:ptCount val="1"/>
                <c:pt idx="0">
                  <c:v>III Trimestre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Evaluación!$B$4:$B$13</c:f>
              <c:strCache>
                <c:ptCount val="10"/>
                <c:pt idx="0">
                  <c:v>Leonardo Aguilar</c:v>
                </c:pt>
                <c:pt idx="1">
                  <c:v>Federico Garcia</c:v>
                </c:pt>
                <c:pt idx="2">
                  <c:v>Alfonso Paniagua</c:v>
                </c:pt>
                <c:pt idx="3">
                  <c:v>Reinaldo Carmona</c:v>
                </c:pt>
                <c:pt idx="4">
                  <c:v>James Cordoba</c:v>
                </c:pt>
                <c:pt idx="5">
                  <c:v>Francisco Jimenez</c:v>
                </c:pt>
                <c:pt idx="6">
                  <c:v>Johnathan Rodriguez</c:v>
                </c:pt>
                <c:pt idx="7">
                  <c:v>Miguel Mora</c:v>
                </c:pt>
                <c:pt idx="8">
                  <c:v>George Azofeifa</c:v>
                </c:pt>
                <c:pt idx="9">
                  <c:v>Paco Fernandez</c:v>
                </c:pt>
              </c:strCache>
            </c:strRef>
          </c:cat>
          <c:val>
            <c:numRef>
              <c:f>Evaluación!$E$4:$E$13</c:f>
              <c:numCache>
                <c:formatCode>General</c:formatCode>
                <c:ptCount val="10"/>
                <c:pt idx="0">
                  <c:v>100</c:v>
                </c:pt>
                <c:pt idx="1">
                  <c:v>85</c:v>
                </c:pt>
                <c:pt idx="2">
                  <c:v>96</c:v>
                </c:pt>
                <c:pt idx="3">
                  <c:v>86</c:v>
                </c:pt>
                <c:pt idx="4">
                  <c:v>91</c:v>
                </c:pt>
                <c:pt idx="5">
                  <c:v>82</c:v>
                </c:pt>
                <c:pt idx="6">
                  <c:v>10</c:v>
                </c:pt>
                <c:pt idx="7">
                  <c:v>90</c:v>
                </c:pt>
                <c:pt idx="8">
                  <c:v>73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43-4F96-8DC1-27823DF84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636064"/>
        <c:axId val="609630160"/>
      </c:barChart>
      <c:catAx>
        <c:axId val="6096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09630160"/>
        <c:crosses val="autoZero"/>
        <c:auto val="1"/>
        <c:lblAlgn val="ctr"/>
        <c:lblOffset val="100"/>
        <c:noMultiLvlLbl val="0"/>
      </c:catAx>
      <c:valAx>
        <c:axId val="60963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096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áfico3"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20</xdr:row>
      <xdr:rowOff>138112</xdr:rowOff>
    </xdr:from>
    <xdr:to>
      <xdr:col>7</xdr:col>
      <xdr:colOff>828675</xdr:colOff>
      <xdr:row>35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EA1B56-DB18-44C7-B3ED-5E634E200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13</xdr:row>
      <xdr:rowOff>166687</xdr:rowOff>
    </xdr:from>
    <xdr:to>
      <xdr:col>13</xdr:col>
      <xdr:colOff>533400</xdr:colOff>
      <xdr:row>28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B650A7-BC11-4FE6-956E-179FE998E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7896890" cy="516122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6A111A-D37B-47A1-AAA3-062F7F6B58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0</xdr:row>
      <xdr:rowOff>314325</xdr:rowOff>
    </xdr:from>
    <xdr:to>
      <xdr:col>8</xdr:col>
      <xdr:colOff>685800</xdr:colOff>
      <xdr:row>2</xdr:row>
      <xdr:rowOff>19050</xdr:rowOff>
    </xdr:to>
    <xdr:sp macro="[0]!Hoja8.CommandButton_Click" textlink="">
      <xdr:nvSpPr>
        <xdr:cNvPr id="2" name="Rectángulo 1"/>
        <xdr:cNvSpPr/>
      </xdr:nvSpPr>
      <xdr:spPr>
        <a:xfrm>
          <a:off x="5800725" y="314325"/>
          <a:ext cx="1628775" cy="6953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2800">
              <a:latin typeface="Adobe Devanagari" panose="02040503050201020203" pitchFamily="18" charset="0"/>
              <a:cs typeface="Adobe Devanagari" panose="02040503050201020203" pitchFamily="18" charset="0"/>
            </a:rPr>
            <a:t>Reiniciar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</xdr:row>
      <xdr:rowOff>176212</xdr:rowOff>
    </xdr:from>
    <xdr:to>
      <xdr:col>14</xdr:col>
      <xdr:colOff>28575</xdr:colOff>
      <xdr:row>17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A5BE3F-6DA5-4C1A-A277-2DC163FD5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18"/>
  <sheetViews>
    <sheetView workbookViewId="0">
      <selection activeCell="B3" sqref="B3"/>
    </sheetView>
  </sheetViews>
  <sheetFormatPr baseColWidth="10" defaultRowHeight="15" x14ac:dyDescent="0.25"/>
  <cols>
    <col min="1" max="1" width="28" bestFit="1" customWidth="1"/>
    <col min="2" max="2" width="11.7109375" customWidth="1"/>
  </cols>
  <sheetData>
    <row r="1" spans="1:7" x14ac:dyDescent="0.25">
      <c r="A1" s="1" t="s">
        <v>0</v>
      </c>
      <c r="B1" t="s">
        <v>1</v>
      </c>
    </row>
    <row r="3" spans="1:7" x14ac:dyDescent="0.25">
      <c r="B3">
        <f>9*10</f>
        <v>90</v>
      </c>
    </row>
    <row r="4" spans="1:7" x14ac:dyDescent="0.25">
      <c r="A4" t="s">
        <v>5</v>
      </c>
      <c r="B4" t="s">
        <v>2</v>
      </c>
      <c r="C4" t="s">
        <v>3</v>
      </c>
      <c r="D4" t="s">
        <v>4</v>
      </c>
    </row>
    <row r="5" spans="1:7" ht="17.25" customHeight="1" x14ac:dyDescent="0.25">
      <c r="A5" t="s">
        <v>6</v>
      </c>
      <c r="B5">
        <v>3000000</v>
      </c>
      <c r="C5">
        <v>2</v>
      </c>
      <c r="D5">
        <f>B5*C5</f>
        <v>6000000</v>
      </c>
    </row>
    <row r="6" spans="1:7" ht="16.5" customHeight="1" x14ac:dyDescent="0.25">
      <c r="A6" t="s">
        <v>7</v>
      </c>
      <c r="B6">
        <v>85000</v>
      </c>
      <c r="C6">
        <v>4</v>
      </c>
      <c r="D6">
        <f>B6*C6</f>
        <v>340000</v>
      </c>
    </row>
    <row r="7" spans="1:7" ht="16.5" customHeight="1" x14ac:dyDescent="0.25">
      <c r="A7" t="s">
        <v>8</v>
      </c>
      <c r="B7">
        <v>60000</v>
      </c>
      <c r="C7">
        <v>3</v>
      </c>
      <c r="D7">
        <f>B7*C7</f>
        <v>180000</v>
      </c>
    </row>
    <row r="8" spans="1:7" x14ac:dyDescent="0.25">
      <c r="D8" s="1"/>
      <c r="E8" s="1"/>
      <c r="F8" s="1"/>
      <c r="G8" s="1"/>
    </row>
    <row r="9" spans="1:7" x14ac:dyDescent="0.25">
      <c r="D9" s="1"/>
      <c r="E9" s="1"/>
      <c r="F9" s="1"/>
      <c r="G9" s="1"/>
    </row>
    <row r="10" spans="1:7" x14ac:dyDescent="0.25">
      <c r="D10" s="1"/>
      <c r="E10" s="1"/>
      <c r="F10" s="1"/>
      <c r="G10" s="1"/>
    </row>
    <row r="11" spans="1:7" x14ac:dyDescent="0.25">
      <c r="D11" s="1"/>
      <c r="E11" s="1"/>
      <c r="F11" s="1"/>
      <c r="G11" s="1"/>
    </row>
    <row r="12" spans="1:7" x14ac:dyDescent="0.25">
      <c r="D12" s="1"/>
      <c r="E12" s="1"/>
      <c r="F12" s="1"/>
      <c r="G12" s="1"/>
    </row>
    <row r="13" spans="1:7" x14ac:dyDescent="0.25">
      <c r="D13" s="1"/>
      <c r="E13" s="1"/>
      <c r="F13" s="1"/>
      <c r="G13" s="1"/>
    </row>
    <row r="14" spans="1:7" x14ac:dyDescent="0.25">
      <c r="D14" s="1"/>
      <c r="E14" s="1"/>
      <c r="F14" s="1"/>
      <c r="G14" s="1"/>
    </row>
    <row r="15" spans="1:7" x14ac:dyDescent="0.25">
      <c r="D15" s="1"/>
      <c r="E15" s="1"/>
      <c r="F15" s="1"/>
      <c r="G15" s="1"/>
    </row>
    <row r="16" spans="1:7" x14ac:dyDescent="0.25">
      <c r="D16" s="1"/>
      <c r="E16" s="1"/>
      <c r="F16" s="1"/>
      <c r="G16" s="1"/>
    </row>
    <row r="17" spans="4:7" x14ac:dyDescent="0.25">
      <c r="D17" s="1"/>
      <c r="E17" s="1"/>
      <c r="F17" s="1"/>
      <c r="G17" s="1"/>
    </row>
    <row r="18" spans="4:7" x14ac:dyDescent="0.25">
      <c r="D18" s="1"/>
      <c r="E18" s="1"/>
      <c r="F18" s="1"/>
      <c r="G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J20"/>
  <sheetViews>
    <sheetView workbookViewId="0">
      <selection activeCell="H17" sqref="H17"/>
    </sheetView>
  </sheetViews>
  <sheetFormatPr baseColWidth="10" defaultRowHeight="15" x14ac:dyDescent="0.25"/>
  <cols>
    <col min="2" max="2" width="17.42578125" bestFit="1" customWidth="1"/>
    <col min="3" max="3" width="14.7109375" customWidth="1"/>
    <col min="4" max="4" width="15.7109375" bestFit="1" customWidth="1"/>
    <col min="5" max="5" width="14.42578125" customWidth="1"/>
    <col min="7" max="7" width="17" bestFit="1" customWidth="1"/>
    <col min="8" max="8" width="12.85546875" bestFit="1" customWidth="1"/>
    <col min="9" max="9" width="15" customWidth="1"/>
  </cols>
  <sheetData>
    <row r="1" spans="1:10" ht="15" customHeight="1" x14ac:dyDescent="0.25">
      <c r="A1" s="146" t="s">
        <v>23</v>
      </c>
      <c r="B1" s="140" t="s">
        <v>24</v>
      </c>
      <c r="C1" s="141"/>
      <c r="D1" s="141"/>
      <c r="E1" s="141"/>
      <c r="F1" s="141"/>
      <c r="G1" s="141"/>
      <c r="H1" s="141"/>
      <c r="I1" s="141"/>
      <c r="J1" s="142"/>
    </row>
    <row r="2" spans="1:10" x14ac:dyDescent="0.25">
      <c r="A2" s="147"/>
      <c r="B2" s="143">
        <v>2019</v>
      </c>
      <c r="C2" s="144"/>
      <c r="D2" s="144"/>
      <c r="E2" s="144"/>
      <c r="F2" s="144"/>
      <c r="G2" s="144"/>
      <c r="H2" s="144"/>
      <c r="I2" s="144"/>
      <c r="J2" s="145"/>
    </row>
    <row r="3" spans="1:10" x14ac:dyDescent="0.25">
      <c r="A3" s="147"/>
      <c r="B3" s="2" t="s">
        <v>9</v>
      </c>
      <c r="C3" s="3" t="s">
        <v>10</v>
      </c>
      <c r="D3" s="4" t="s">
        <v>11</v>
      </c>
      <c r="E3" s="5" t="s">
        <v>12</v>
      </c>
      <c r="F3" s="6" t="s">
        <v>25</v>
      </c>
      <c r="G3" s="7" t="s">
        <v>26</v>
      </c>
      <c r="H3" s="8" t="s">
        <v>27</v>
      </c>
      <c r="I3" s="9" t="s">
        <v>28</v>
      </c>
      <c r="J3" s="18" t="s">
        <v>29</v>
      </c>
    </row>
    <row r="4" spans="1:10" x14ac:dyDescent="0.25">
      <c r="A4" s="147"/>
      <c r="B4" s="10" t="s">
        <v>13</v>
      </c>
      <c r="C4" s="11">
        <v>6500</v>
      </c>
      <c r="D4" s="12">
        <v>66</v>
      </c>
      <c r="E4" s="13">
        <f>C4*D4</f>
        <v>429000</v>
      </c>
      <c r="F4" s="14">
        <f t="shared" ref="F4:F9" si="0">E4*9%</f>
        <v>38610</v>
      </c>
      <c r="G4" s="15">
        <f>E4*5%</f>
        <v>21450</v>
      </c>
      <c r="H4" s="16">
        <f>E4*7%</f>
        <v>30030.000000000004</v>
      </c>
      <c r="I4" s="17">
        <f>E4-F4-G4-H4</f>
        <v>338910</v>
      </c>
      <c r="J4" s="48" t="str">
        <f>IF(I4&gt;=1000000,"Clase A",IF(I4&gt;500000,"Clase B","Clase C"))</f>
        <v>Clase C</v>
      </c>
    </row>
    <row r="5" spans="1:10" x14ac:dyDescent="0.25">
      <c r="A5" s="147"/>
      <c r="B5" s="10" t="s">
        <v>14</v>
      </c>
      <c r="C5" s="11">
        <v>20000</v>
      </c>
      <c r="D5" s="12">
        <v>98</v>
      </c>
      <c r="E5" s="13">
        <f>C5*D5</f>
        <v>1960000</v>
      </c>
      <c r="F5" s="14">
        <f t="shared" si="0"/>
        <v>176400</v>
      </c>
      <c r="G5" s="15">
        <f t="shared" ref="G5:G13" si="1">E5*5%</f>
        <v>98000</v>
      </c>
      <c r="H5" s="16">
        <f t="shared" ref="H5:H13" si="2">E5*7%</f>
        <v>137200</v>
      </c>
      <c r="I5" s="17">
        <f t="shared" ref="I5:I13" si="3">E5-F5-G5-H5</f>
        <v>1548400</v>
      </c>
      <c r="J5" s="48" t="str">
        <f t="shared" ref="J5:J13" si="4">IF(I5&gt;=1000000,"Clase A",IF(I5&gt;500000,"Clase B","Clase C"))</f>
        <v>Clase A</v>
      </c>
    </row>
    <row r="6" spans="1:10" x14ac:dyDescent="0.25">
      <c r="A6" s="147"/>
      <c r="B6" s="10" t="s">
        <v>15</v>
      </c>
      <c r="C6" s="11">
        <v>5000</v>
      </c>
      <c r="D6" s="12">
        <v>50</v>
      </c>
      <c r="E6" s="13">
        <f>C6*D6</f>
        <v>250000</v>
      </c>
      <c r="F6" s="14">
        <f t="shared" si="0"/>
        <v>22500</v>
      </c>
      <c r="G6" s="15">
        <f t="shared" si="1"/>
        <v>12500</v>
      </c>
      <c r="H6" s="16">
        <f t="shared" si="2"/>
        <v>17500</v>
      </c>
      <c r="I6" s="17">
        <f t="shared" si="3"/>
        <v>197500</v>
      </c>
      <c r="J6" s="48" t="str">
        <f t="shared" si="4"/>
        <v>Clase C</v>
      </c>
    </row>
    <row r="7" spans="1:10" x14ac:dyDescent="0.25">
      <c r="A7" s="147"/>
      <c r="B7" s="10" t="s">
        <v>16</v>
      </c>
      <c r="C7" s="11">
        <v>10000</v>
      </c>
      <c r="D7" s="12">
        <v>90</v>
      </c>
      <c r="E7" s="13">
        <f>C7*D7</f>
        <v>900000</v>
      </c>
      <c r="F7" s="14">
        <f t="shared" si="0"/>
        <v>81000</v>
      </c>
      <c r="G7" s="15">
        <f t="shared" si="1"/>
        <v>45000</v>
      </c>
      <c r="H7" s="16">
        <f t="shared" si="2"/>
        <v>63000.000000000007</v>
      </c>
      <c r="I7" s="17">
        <f t="shared" si="3"/>
        <v>711000</v>
      </c>
      <c r="J7" s="48" t="str">
        <f t="shared" si="4"/>
        <v>Clase B</v>
      </c>
    </row>
    <row r="8" spans="1:10" x14ac:dyDescent="0.25">
      <c r="A8" s="147"/>
      <c r="B8" s="10" t="s">
        <v>17</v>
      </c>
      <c r="C8" s="11">
        <v>25000</v>
      </c>
      <c r="D8" s="12">
        <v>65</v>
      </c>
      <c r="E8" s="13">
        <f>D8*C8</f>
        <v>1625000</v>
      </c>
      <c r="F8" s="14">
        <f t="shared" si="0"/>
        <v>146250</v>
      </c>
      <c r="G8" s="15">
        <f t="shared" si="1"/>
        <v>81250</v>
      </c>
      <c r="H8" s="16">
        <f t="shared" si="2"/>
        <v>113750.00000000001</v>
      </c>
      <c r="I8" s="17">
        <f t="shared" si="3"/>
        <v>1283750</v>
      </c>
      <c r="J8" s="48" t="str">
        <f t="shared" si="4"/>
        <v>Clase A</v>
      </c>
    </row>
    <row r="9" spans="1:10" x14ac:dyDescent="0.25">
      <c r="A9" s="147"/>
      <c r="B9" s="10" t="s">
        <v>18</v>
      </c>
      <c r="C9" s="11">
        <v>15000</v>
      </c>
      <c r="D9" s="12">
        <v>54</v>
      </c>
      <c r="E9" s="13">
        <f>C9*D9</f>
        <v>810000</v>
      </c>
      <c r="F9" s="14">
        <f t="shared" si="0"/>
        <v>72900</v>
      </c>
      <c r="G9" s="15">
        <f t="shared" si="1"/>
        <v>40500</v>
      </c>
      <c r="H9" s="16">
        <f t="shared" si="2"/>
        <v>56700.000000000007</v>
      </c>
      <c r="I9" s="17">
        <f t="shared" si="3"/>
        <v>639900</v>
      </c>
      <c r="J9" s="48" t="str">
        <f t="shared" si="4"/>
        <v>Clase B</v>
      </c>
    </row>
    <row r="10" spans="1:10" x14ac:dyDescent="0.25">
      <c r="A10" s="147"/>
      <c r="B10" s="10" t="s">
        <v>19</v>
      </c>
      <c r="C10" s="11">
        <v>8000</v>
      </c>
      <c r="D10" s="12">
        <v>46</v>
      </c>
      <c r="E10" s="13">
        <f>C10*D10</f>
        <v>368000</v>
      </c>
      <c r="F10" s="14">
        <f t="shared" ref="F10:F13" si="5">E10*9%</f>
        <v>33120</v>
      </c>
      <c r="G10" s="15">
        <f t="shared" si="1"/>
        <v>18400</v>
      </c>
      <c r="H10" s="16">
        <f t="shared" si="2"/>
        <v>25760.000000000004</v>
      </c>
      <c r="I10" s="17">
        <f t="shared" si="3"/>
        <v>290720</v>
      </c>
      <c r="J10" s="48" t="str">
        <f t="shared" si="4"/>
        <v>Clase C</v>
      </c>
    </row>
    <row r="11" spans="1:10" x14ac:dyDescent="0.25">
      <c r="A11" s="147"/>
      <c r="B11" s="10" t="s">
        <v>20</v>
      </c>
      <c r="C11" s="11">
        <v>10050</v>
      </c>
      <c r="D11" s="12">
        <v>78</v>
      </c>
      <c r="E11" s="13">
        <f>C11*D11</f>
        <v>783900</v>
      </c>
      <c r="F11" s="14">
        <f t="shared" si="5"/>
        <v>70551</v>
      </c>
      <c r="G11" s="15">
        <f t="shared" si="1"/>
        <v>39195</v>
      </c>
      <c r="H11" s="16">
        <f t="shared" si="2"/>
        <v>54873.000000000007</v>
      </c>
      <c r="I11" s="17">
        <f t="shared" si="3"/>
        <v>619281</v>
      </c>
      <c r="J11" s="48" t="str">
        <f t="shared" si="4"/>
        <v>Clase B</v>
      </c>
    </row>
    <row r="12" spans="1:10" x14ac:dyDescent="0.25">
      <c r="A12" s="147"/>
      <c r="B12" s="10" t="s">
        <v>21</v>
      </c>
      <c r="C12" s="11">
        <v>8700</v>
      </c>
      <c r="D12" s="12">
        <v>96</v>
      </c>
      <c r="E12" s="13">
        <f>C12*D12</f>
        <v>835200</v>
      </c>
      <c r="F12" s="14">
        <f t="shared" si="5"/>
        <v>75168</v>
      </c>
      <c r="G12" s="15">
        <f t="shared" si="1"/>
        <v>41760</v>
      </c>
      <c r="H12" s="16">
        <f t="shared" si="2"/>
        <v>58464.000000000007</v>
      </c>
      <c r="I12" s="17">
        <f t="shared" si="3"/>
        <v>659808</v>
      </c>
      <c r="J12" s="48" t="str">
        <f t="shared" si="4"/>
        <v>Clase B</v>
      </c>
    </row>
    <row r="13" spans="1:10" x14ac:dyDescent="0.25">
      <c r="A13" s="147"/>
      <c r="B13" s="10" t="s">
        <v>22</v>
      </c>
      <c r="C13" s="11">
        <v>2000</v>
      </c>
      <c r="D13" s="12">
        <v>48</v>
      </c>
      <c r="E13" s="13">
        <f>C13*D13</f>
        <v>96000</v>
      </c>
      <c r="F13" s="14">
        <f t="shared" si="5"/>
        <v>8640</v>
      </c>
      <c r="G13" s="15">
        <f t="shared" si="1"/>
        <v>4800</v>
      </c>
      <c r="H13" s="16">
        <f t="shared" si="2"/>
        <v>6720.0000000000009</v>
      </c>
      <c r="I13" s="17">
        <f t="shared" si="3"/>
        <v>75840</v>
      </c>
      <c r="J13" s="48" t="str">
        <f t="shared" si="4"/>
        <v>Clase C</v>
      </c>
    </row>
    <row r="14" spans="1:10" x14ac:dyDescent="0.25">
      <c r="A14" s="147"/>
      <c r="B14" s="10" t="s">
        <v>53</v>
      </c>
      <c r="C14" s="28">
        <f>COUNTA(B4:B13)</f>
        <v>10</v>
      </c>
    </row>
    <row r="15" spans="1:10" x14ac:dyDescent="0.25">
      <c r="A15" s="147"/>
      <c r="B15" s="10" t="s">
        <v>54</v>
      </c>
      <c r="C15" s="33">
        <f>MAX(I4:I13)</f>
        <v>1548400</v>
      </c>
    </row>
    <row r="16" spans="1:10" x14ac:dyDescent="0.25">
      <c r="A16" s="147"/>
      <c r="B16" s="10" t="s">
        <v>55</v>
      </c>
      <c r="C16" s="33">
        <f>MIN(I4:I13)</f>
        <v>75840</v>
      </c>
    </row>
    <row r="17" spans="1:3" x14ac:dyDescent="0.25">
      <c r="A17" s="147"/>
      <c r="B17" s="10" t="s">
        <v>56</v>
      </c>
      <c r="C17" s="28">
        <f>COUNTIF(I4:I13,"&gt;450000")</f>
        <v>6</v>
      </c>
    </row>
    <row r="18" spans="1:3" x14ac:dyDescent="0.25">
      <c r="A18" s="147"/>
      <c r="B18" s="10" t="s">
        <v>57</v>
      </c>
      <c r="C18" s="28">
        <f>COUNTIF(I4:I13,"&gt;=1000000")</f>
        <v>2</v>
      </c>
    </row>
    <row r="19" spans="1:3" x14ac:dyDescent="0.25">
      <c r="A19" s="147"/>
      <c r="B19" s="10" t="s">
        <v>58</v>
      </c>
      <c r="C19" s="28">
        <f>COUNTIF(J4:J13,"Clase B")</f>
        <v>4</v>
      </c>
    </row>
    <row r="20" spans="1:3" x14ac:dyDescent="0.25">
      <c r="A20" s="147"/>
      <c r="B20" s="10" t="s">
        <v>59</v>
      </c>
      <c r="C20" s="28">
        <f>COUNTIF(I4:I13,"&lt;500000")</f>
        <v>4</v>
      </c>
    </row>
  </sheetData>
  <mergeCells count="3">
    <mergeCell ref="B1:J1"/>
    <mergeCell ref="B2:J2"/>
    <mergeCell ref="A1:A20"/>
  </mergeCells>
  <conditionalFormatting sqref="J4:J13">
    <cfRule type="containsText" dxfId="21" priority="1" operator="containsText" text="Clase B">
      <formula>NOT(ISERROR(SEARCH("Clase B",J4)))</formula>
    </cfRule>
    <cfRule type="containsText" dxfId="20" priority="2" operator="containsText" text="Clase A">
      <formula>NOT(ISERROR(SEARCH("Clase A",J4)))</formula>
    </cfRule>
    <cfRule type="containsText" dxfId="19" priority="3" operator="containsText" text="Clase C">
      <formula>NOT(ISERROR(SEARCH("Clase C",J4)))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11"/>
  <sheetViews>
    <sheetView workbookViewId="0">
      <pane xSplit="2" ySplit="11" topLeftCell="C12" activePane="bottomRight" state="frozenSplit"/>
      <selection activeCell="E16" sqref="E16"/>
      <selection pane="topRight" activeCell="G6" sqref="G6"/>
      <selection pane="bottomLeft" activeCell="B14" sqref="B14"/>
      <selection pane="bottomRight" activeCell="C1" sqref="C1"/>
    </sheetView>
  </sheetViews>
  <sheetFormatPr baseColWidth="10" defaultRowHeight="15" x14ac:dyDescent="0.25"/>
  <cols>
    <col min="4" max="4" width="13.85546875" bestFit="1" customWidth="1"/>
    <col min="5" max="5" width="19.5703125" bestFit="1" customWidth="1"/>
    <col min="6" max="6" width="16.5703125" customWidth="1"/>
    <col min="7" max="7" width="15" bestFit="1" customWidth="1"/>
  </cols>
  <sheetData>
    <row r="1" spans="1:7" x14ac:dyDescent="0.25">
      <c r="A1" s="34" t="s">
        <v>60</v>
      </c>
      <c r="B1" s="30" t="s">
        <v>61</v>
      </c>
      <c r="C1" s="36" t="s">
        <v>62</v>
      </c>
      <c r="D1" s="39" t="s">
        <v>63</v>
      </c>
      <c r="E1" s="42" t="s">
        <v>85</v>
      </c>
      <c r="F1" s="41" t="s">
        <v>64</v>
      </c>
      <c r="G1" s="32" t="s">
        <v>65</v>
      </c>
    </row>
    <row r="2" spans="1:7" x14ac:dyDescent="0.25">
      <c r="A2" s="35">
        <v>1205</v>
      </c>
      <c r="B2" s="37" t="s">
        <v>66</v>
      </c>
      <c r="C2" s="38" t="s">
        <v>75</v>
      </c>
      <c r="D2" s="40">
        <v>200000</v>
      </c>
      <c r="E2" s="43" t="str">
        <f t="shared" ref="E2:E11" si="0">IF(D2&gt;=800000,"16%",IF(D2&gt;=500000,"12%",IF(D2&gt;=200000, "8%","4%")))</f>
        <v>8%</v>
      </c>
      <c r="F2" s="44">
        <f t="shared" ref="F2:F11" si="1">IF(D2&gt;=800000,D2*16%,IF(D2&gt;=500000,D2*12%,IF(D2&gt;=200000, D2*8%,D2*4%)))</f>
        <v>16000</v>
      </c>
      <c r="G2" s="45">
        <f t="shared" ref="G2:G11" si="2">+D2+F2</f>
        <v>216000</v>
      </c>
    </row>
    <row r="3" spans="1:7" x14ac:dyDescent="0.25">
      <c r="A3" s="35">
        <v>1287</v>
      </c>
      <c r="B3" s="37" t="s">
        <v>67</v>
      </c>
      <c r="C3" s="38" t="s">
        <v>76</v>
      </c>
      <c r="D3" s="40">
        <v>500000</v>
      </c>
      <c r="E3" s="43" t="str">
        <f t="shared" si="0"/>
        <v>12%</v>
      </c>
      <c r="F3" s="44">
        <f t="shared" si="1"/>
        <v>60000</v>
      </c>
      <c r="G3" s="45">
        <f t="shared" si="2"/>
        <v>560000</v>
      </c>
    </row>
    <row r="4" spans="1:7" x14ac:dyDescent="0.25">
      <c r="A4" s="35">
        <v>1548</v>
      </c>
      <c r="B4" s="37" t="s">
        <v>68</v>
      </c>
      <c r="C4" s="38" t="s">
        <v>77</v>
      </c>
      <c r="D4" s="40">
        <v>20000</v>
      </c>
      <c r="E4" s="43" t="str">
        <f t="shared" si="0"/>
        <v>4%</v>
      </c>
      <c r="F4" s="44">
        <f t="shared" si="1"/>
        <v>800</v>
      </c>
      <c r="G4" s="45">
        <f t="shared" si="2"/>
        <v>20800</v>
      </c>
    </row>
    <row r="5" spans="1:7" x14ac:dyDescent="0.25">
      <c r="A5" s="35">
        <v>2541</v>
      </c>
      <c r="B5" s="37" t="s">
        <v>73</v>
      </c>
      <c r="C5" s="38" t="s">
        <v>78</v>
      </c>
      <c r="D5" s="40">
        <v>600000</v>
      </c>
      <c r="E5" s="43" t="str">
        <f t="shared" si="0"/>
        <v>12%</v>
      </c>
      <c r="F5" s="44">
        <f t="shared" si="1"/>
        <v>72000</v>
      </c>
      <c r="G5" s="45">
        <f t="shared" si="2"/>
        <v>672000</v>
      </c>
    </row>
    <row r="6" spans="1:7" x14ac:dyDescent="0.25">
      <c r="A6" s="35">
        <v>5545</v>
      </c>
      <c r="B6" s="37" t="s">
        <v>69</v>
      </c>
      <c r="C6" s="38" t="s">
        <v>79</v>
      </c>
      <c r="D6" s="40">
        <v>900000</v>
      </c>
      <c r="E6" s="43" t="str">
        <f t="shared" si="0"/>
        <v>16%</v>
      </c>
      <c r="F6" s="44">
        <f t="shared" si="1"/>
        <v>144000</v>
      </c>
      <c r="G6" s="45">
        <f t="shared" si="2"/>
        <v>1044000</v>
      </c>
    </row>
    <row r="7" spans="1:7" x14ac:dyDescent="0.25">
      <c r="A7" s="35">
        <v>5645</v>
      </c>
      <c r="B7" s="37" t="s">
        <v>66</v>
      </c>
      <c r="C7" s="38" t="s">
        <v>80</v>
      </c>
      <c r="D7" s="40">
        <v>400000</v>
      </c>
      <c r="E7" s="43" t="str">
        <f t="shared" si="0"/>
        <v>8%</v>
      </c>
      <c r="F7" s="44">
        <f t="shared" si="1"/>
        <v>32000</v>
      </c>
      <c r="G7" s="45">
        <f t="shared" si="2"/>
        <v>432000</v>
      </c>
    </row>
    <row r="8" spans="1:7" x14ac:dyDescent="0.25">
      <c r="A8" s="35">
        <v>6321</v>
      </c>
      <c r="B8" s="37" t="s">
        <v>70</v>
      </c>
      <c r="C8" s="38" t="s">
        <v>81</v>
      </c>
      <c r="D8" s="40">
        <v>300000</v>
      </c>
      <c r="E8" s="43" t="str">
        <f t="shared" si="0"/>
        <v>8%</v>
      </c>
      <c r="F8" s="44">
        <f t="shared" si="1"/>
        <v>24000</v>
      </c>
      <c r="G8" s="45">
        <f t="shared" si="2"/>
        <v>324000</v>
      </c>
    </row>
    <row r="9" spans="1:7" x14ac:dyDescent="0.25">
      <c r="A9" s="35">
        <v>6697</v>
      </c>
      <c r="B9" s="37" t="s">
        <v>71</v>
      </c>
      <c r="C9" s="38" t="s">
        <v>82</v>
      </c>
      <c r="D9" s="40">
        <v>275000</v>
      </c>
      <c r="E9" s="43" t="str">
        <f t="shared" si="0"/>
        <v>8%</v>
      </c>
      <c r="F9" s="44">
        <f t="shared" si="1"/>
        <v>22000</v>
      </c>
      <c r="G9" s="45">
        <f t="shared" si="2"/>
        <v>297000</v>
      </c>
    </row>
    <row r="10" spans="1:7" x14ac:dyDescent="0.25">
      <c r="A10" s="35">
        <v>8895</v>
      </c>
      <c r="B10" s="37" t="s">
        <v>72</v>
      </c>
      <c r="C10" s="38" t="s">
        <v>83</v>
      </c>
      <c r="D10" s="40">
        <v>750000</v>
      </c>
      <c r="E10" s="43" t="str">
        <f t="shared" si="0"/>
        <v>12%</v>
      </c>
      <c r="F10" s="44">
        <f t="shared" si="1"/>
        <v>90000</v>
      </c>
      <c r="G10" s="45">
        <f t="shared" si="2"/>
        <v>840000</v>
      </c>
    </row>
    <row r="11" spans="1:7" x14ac:dyDescent="0.25">
      <c r="A11" s="35">
        <v>9874</v>
      </c>
      <c r="B11" s="37" t="s">
        <v>74</v>
      </c>
      <c r="C11" s="38" t="s">
        <v>84</v>
      </c>
      <c r="D11" s="40">
        <v>100000</v>
      </c>
      <c r="E11" s="43" t="str">
        <f t="shared" si="0"/>
        <v>4%</v>
      </c>
      <c r="F11" s="44">
        <f t="shared" si="1"/>
        <v>4000</v>
      </c>
      <c r="G11" s="45">
        <f t="shared" si="2"/>
        <v>104000</v>
      </c>
    </row>
  </sheetData>
  <sortState ref="A2:G11">
    <sortCondition ref="A2:A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3"/>
  <sheetViews>
    <sheetView workbookViewId="0">
      <selection activeCell="A3" sqref="A3"/>
    </sheetView>
  </sheetViews>
  <sheetFormatPr baseColWidth="10" defaultRowHeight="15" x14ac:dyDescent="0.25"/>
  <cols>
    <col min="2" max="2" width="16.42578125" bestFit="1" customWidth="1"/>
    <col min="3" max="3" width="14.7109375" bestFit="1" customWidth="1"/>
  </cols>
  <sheetData>
    <row r="1" spans="1:3" x14ac:dyDescent="0.25">
      <c r="A1" s="46" t="s">
        <v>60</v>
      </c>
      <c r="B1" s="148">
        <v>5545</v>
      </c>
      <c r="C1" s="148"/>
    </row>
    <row r="2" spans="1:3" x14ac:dyDescent="0.25">
      <c r="A2" s="46" t="s">
        <v>86</v>
      </c>
      <c r="B2" s="46" t="s">
        <v>87</v>
      </c>
      <c r="C2" s="46" t="s">
        <v>88</v>
      </c>
    </row>
    <row r="3" spans="1:3" x14ac:dyDescent="0.25">
      <c r="A3" s="35" t="str">
        <f>LOOKUP(B1,'Precios Productos'!A2:A11,'Precios Productos'!B2:B11)</f>
        <v>Desktop</v>
      </c>
      <c r="B3" s="35"/>
      <c r="C3" s="35"/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O26"/>
  <sheetViews>
    <sheetView workbookViewId="0">
      <selection activeCell="F6" sqref="F6"/>
    </sheetView>
  </sheetViews>
  <sheetFormatPr baseColWidth="10" defaultRowHeight="15" x14ac:dyDescent="0.25"/>
  <cols>
    <col min="1" max="1" width="5.42578125" customWidth="1"/>
    <col min="5" max="5" width="15" bestFit="1" customWidth="1"/>
    <col min="6" max="6" width="19.7109375" bestFit="1" customWidth="1"/>
    <col min="7" max="7" width="12.85546875" bestFit="1" customWidth="1"/>
  </cols>
  <sheetData>
    <row r="1" spans="1:7" x14ac:dyDescent="0.25">
      <c r="A1" s="49" t="s">
        <v>97</v>
      </c>
      <c r="B1" s="50" t="s">
        <v>89</v>
      </c>
      <c r="C1" s="51" t="s">
        <v>5</v>
      </c>
      <c r="D1" s="52" t="s">
        <v>62</v>
      </c>
      <c r="E1" s="53" t="s">
        <v>65</v>
      </c>
      <c r="F1" s="23" t="s">
        <v>90</v>
      </c>
      <c r="G1" s="24" t="s">
        <v>91</v>
      </c>
    </row>
    <row r="2" spans="1:7" x14ac:dyDescent="0.25">
      <c r="A2" s="54">
        <v>1</v>
      </c>
      <c r="B2" s="55">
        <v>1287</v>
      </c>
      <c r="C2" s="56" t="str">
        <f>LOOKUP(B2,'Precios Productos'!A2:A11,'Precios Productos'!B2:B11)</f>
        <v>Lava Platos</v>
      </c>
      <c r="D2" s="57" t="str">
        <f>LOOKUP(B2,'Precios Productos'!A2:A11,'Precios Productos'!C2:C11)</f>
        <v>Frigerade</v>
      </c>
      <c r="E2" s="58">
        <f>LOOKUP(B2,'Precios Productos'!A2:A11,'Precios Productos'!G2:G11)</f>
        <v>560000</v>
      </c>
      <c r="F2" s="22">
        <v>4</v>
      </c>
      <c r="G2" s="59">
        <f>E2*F2</f>
        <v>2240000</v>
      </c>
    </row>
    <row r="3" spans="1:7" x14ac:dyDescent="0.25">
      <c r="A3" s="54">
        <v>2</v>
      </c>
      <c r="B3" s="55">
        <v>5545</v>
      </c>
      <c r="C3" s="56" t="str">
        <f>LOOKUP(B3,'Precios Productos'!A2:A11,'Precios Productos'!B2:B11)</f>
        <v>Desktop</v>
      </c>
      <c r="D3" s="57" t="str">
        <f>LOOKUP(B3,'Precios Productos'!A2:A11,'Precios Productos'!C2:C11)</f>
        <v>HP</v>
      </c>
      <c r="E3" s="58">
        <f>LOOKUP(B3,'Precios Productos'!A2:A11,'Precios Productos'!G2:G11)</f>
        <v>1044000</v>
      </c>
      <c r="F3" s="22">
        <v>2</v>
      </c>
      <c r="G3" s="59">
        <f>E3*F3</f>
        <v>2088000</v>
      </c>
    </row>
    <row r="4" spans="1:7" x14ac:dyDescent="0.25">
      <c r="A4" s="54">
        <v>3</v>
      </c>
      <c r="B4" s="55">
        <v>1205</v>
      </c>
      <c r="C4" s="56" t="str">
        <f>LOOKUP(B4,'Precios Productos'!A2:A11,'Precios Productos'!B2:B11)</f>
        <v>Celular</v>
      </c>
      <c r="D4" s="57" t="str">
        <f>LOOKUP(B4,'Precios Productos'!A2:A11,'Precios Productos'!C2:C11)</f>
        <v>LG</v>
      </c>
      <c r="E4" s="58">
        <f>LOOKUP(B4,'Precios Productos'!A2:A11,'Precios Productos'!G2:G11)</f>
        <v>216000</v>
      </c>
      <c r="F4" s="22">
        <v>4</v>
      </c>
      <c r="G4" s="59">
        <f>E4*F4</f>
        <v>864000</v>
      </c>
    </row>
    <row r="5" spans="1:7" x14ac:dyDescent="0.25">
      <c r="A5" s="54">
        <v>4</v>
      </c>
      <c r="B5" s="55">
        <v>9887</v>
      </c>
      <c r="C5" s="56" t="str">
        <f>LOOKUP(B5,'Precios Productos'!A2:A11,'Precios Productos'!B2:B11)</f>
        <v>Tablet</v>
      </c>
      <c r="D5" s="57" t="str">
        <f>LOOKUP(B5,'Precios Productos'!A2:A11,'Precios Productos'!C2:C11)</f>
        <v>AOC</v>
      </c>
      <c r="E5" s="58">
        <f>LOOKUP(B5,'Precios Productos'!A2:A11,'Precios Productos'!G2:G11)</f>
        <v>104000</v>
      </c>
      <c r="F5" s="22">
        <v>2</v>
      </c>
      <c r="G5" s="59">
        <f>E5*F5</f>
        <v>208000</v>
      </c>
    </row>
    <row r="6" spans="1:7" x14ac:dyDescent="0.25">
      <c r="A6" s="54">
        <v>5</v>
      </c>
      <c r="B6" s="55"/>
      <c r="C6" s="56"/>
      <c r="D6" s="57"/>
      <c r="E6" s="60"/>
      <c r="F6" s="22"/>
      <c r="G6" s="25">
        <f t="shared" ref="G6:G10" si="0">E6*F6</f>
        <v>0</v>
      </c>
    </row>
    <row r="7" spans="1:7" x14ac:dyDescent="0.25">
      <c r="A7" s="54">
        <v>6</v>
      </c>
      <c r="B7" s="55"/>
      <c r="C7" s="56"/>
      <c r="D7" s="57"/>
      <c r="E7" s="60"/>
      <c r="F7" s="22"/>
      <c r="G7" s="25">
        <f t="shared" si="0"/>
        <v>0</v>
      </c>
    </row>
    <row r="8" spans="1:7" x14ac:dyDescent="0.25">
      <c r="A8" s="54">
        <v>7</v>
      </c>
      <c r="B8" s="55"/>
      <c r="C8" s="56"/>
      <c r="D8" s="57"/>
      <c r="E8" s="60"/>
      <c r="F8" s="22"/>
      <c r="G8" s="25">
        <f t="shared" si="0"/>
        <v>0</v>
      </c>
    </row>
    <row r="9" spans="1:7" x14ac:dyDescent="0.25">
      <c r="A9" s="54">
        <v>8</v>
      </c>
      <c r="B9" s="55"/>
      <c r="C9" s="56"/>
      <c r="D9" s="57"/>
      <c r="E9" s="60"/>
      <c r="F9" s="22"/>
      <c r="G9" s="25">
        <f t="shared" si="0"/>
        <v>0</v>
      </c>
    </row>
    <row r="10" spans="1:7" x14ac:dyDescent="0.25">
      <c r="A10" s="54">
        <v>9</v>
      </c>
      <c r="B10" s="55"/>
      <c r="C10" s="56"/>
      <c r="D10" s="57"/>
      <c r="E10" s="60"/>
      <c r="F10" s="22"/>
      <c r="G10" s="25">
        <f t="shared" si="0"/>
        <v>0</v>
      </c>
    </row>
    <row r="11" spans="1:7" x14ac:dyDescent="0.25">
      <c r="A11" s="54">
        <v>10</v>
      </c>
      <c r="B11" s="55"/>
      <c r="C11" s="56"/>
      <c r="D11" s="57"/>
      <c r="E11" s="60"/>
      <c r="F11" s="22"/>
      <c r="G11" s="25">
        <f>E11*F11</f>
        <v>0</v>
      </c>
    </row>
    <row r="12" spans="1:7" x14ac:dyDescent="0.25">
      <c r="A12" s="61"/>
      <c r="B12" s="62"/>
      <c r="C12" s="62"/>
      <c r="D12" s="62"/>
      <c r="E12" s="62"/>
      <c r="F12" s="63"/>
      <c r="G12" s="63"/>
    </row>
    <row r="13" spans="1:7" x14ac:dyDescent="0.25">
      <c r="A13" s="19"/>
      <c r="B13" s="19"/>
      <c r="C13" s="19"/>
      <c r="D13" s="19"/>
      <c r="E13" s="19"/>
      <c r="F13" s="64" t="s">
        <v>92</v>
      </c>
      <c r="G13" s="65">
        <f>SUM(G2:G5)</f>
        <v>5400000</v>
      </c>
    </row>
    <row r="14" spans="1:7" x14ac:dyDescent="0.25">
      <c r="A14" s="19"/>
      <c r="B14" s="19"/>
      <c r="C14" s="19"/>
      <c r="D14" s="19"/>
      <c r="E14" s="19"/>
      <c r="F14" s="64" t="s">
        <v>95</v>
      </c>
      <c r="G14" s="65">
        <f>G13+(G13*5%)</f>
        <v>5670000</v>
      </c>
    </row>
    <row r="15" spans="1:7" x14ac:dyDescent="0.25">
      <c r="A15" s="19"/>
      <c r="B15" s="19"/>
      <c r="C15" s="19"/>
      <c r="D15" s="19"/>
      <c r="E15" s="19"/>
      <c r="F15" s="64" t="s">
        <v>94</v>
      </c>
      <c r="G15" s="65">
        <f>G13*5%</f>
        <v>270000</v>
      </c>
    </row>
    <row r="16" spans="1:7" x14ac:dyDescent="0.25">
      <c r="A16" s="19"/>
      <c r="B16" s="19"/>
      <c r="C16" s="19"/>
      <c r="D16" s="19"/>
      <c r="E16" s="19"/>
      <c r="F16" s="64" t="s">
        <v>93</v>
      </c>
      <c r="G16" s="65">
        <f>IF(G14&gt;1000000,(G14*8%),IF(G14&gt;=500000,(G14*5%),IF(G14&lt;50000,(G14*2%))))</f>
        <v>453600</v>
      </c>
    </row>
    <row r="17" spans="1:15" x14ac:dyDescent="0.25">
      <c r="A17" s="19"/>
      <c r="B17" s="19"/>
      <c r="C17" s="19"/>
      <c r="D17" s="19"/>
      <c r="E17" s="19"/>
      <c r="F17" s="64" t="s">
        <v>98</v>
      </c>
      <c r="G17" s="66" t="str">
        <f>IF(G14&gt;1000000,"8%",IF(G14&gt;=500000,"5%",IF(G14&lt;50000,"2%")))</f>
        <v>8%</v>
      </c>
    </row>
    <row r="18" spans="1:15" x14ac:dyDescent="0.25">
      <c r="A18" s="19"/>
      <c r="B18" s="19"/>
      <c r="C18" s="19"/>
      <c r="D18" s="19"/>
      <c r="E18" s="19"/>
      <c r="F18" s="64" t="s">
        <v>96</v>
      </c>
      <c r="G18" s="65">
        <f>IF(G14&gt;1000000,G14-(G14*8%),IF(G14&gt;=500000,G14-(G14*5%),IF(G14&lt;50000,G14-(G14*2%))))</f>
        <v>5216400</v>
      </c>
    </row>
    <row r="26" spans="1:15" x14ac:dyDescent="0.25">
      <c r="O26">
        <v>874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J10"/>
  <sheetViews>
    <sheetView workbookViewId="0">
      <selection activeCell="E10" sqref="E10"/>
    </sheetView>
  </sheetViews>
  <sheetFormatPr baseColWidth="10" defaultRowHeight="15" x14ac:dyDescent="0.25"/>
  <cols>
    <col min="1" max="1" width="12.42578125" bestFit="1" customWidth="1"/>
    <col min="2" max="2" width="16.5703125" bestFit="1" customWidth="1"/>
    <col min="5" max="5" width="11.85546875" bestFit="1" customWidth="1"/>
    <col min="7" max="7" width="11.7109375" bestFit="1" customWidth="1"/>
  </cols>
  <sheetData>
    <row r="1" spans="1:10" ht="15.75" x14ac:dyDescent="0.25">
      <c r="A1" s="67" t="s">
        <v>99</v>
      </c>
      <c r="B1" s="68" t="s">
        <v>100</v>
      </c>
      <c r="C1" s="149" t="s">
        <v>109</v>
      </c>
      <c r="D1" s="149"/>
      <c r="E1" s="69" t="s">
        <v>110</v>
      </c>
      <c r="F1" s="70" t="s">
        <v>111</v>
      </c>
      <c r="G1" s="71" t="s">
        <v>114</v>
      </c>
      <c r="H1" s="72" t="s">
        <v>112</v>
      </c>
      <c r="I1" s="150" t="s">
        <v>113</v>
      </c>
      <c r="J1" s="151"/>
    </row>
    <row r="2" spans="1:10" ht="15.75" x14ac:dyDescent="0.25">
      <c r="A2" s="73" t="s">
        <v>101</v>
      </c>
      <c r="B2" s="74" t="s">
        <v>105</v>
      </c>
      <c r="C2" s="75">
        <v>7</v>
      </c>
      <c r="D2" s="75">
        <v>8</v>
      </c>
      <c r="E2" s="76" t="str">
        <f t="shared" ref="E2:E5" si="0">IF(C2=D2,"",IF(C2&gt;D2,A2,B2))</f>
        <v xml:space="preserve">Cartagines </v>
      </c>
      <c r="F2" s="77">
        <f t="shared" ref="F2:F5" si="1">IF(C2=D2,"0",IF(D2&gt;C2,C2-D2,D2-C2))</f>
        <v>-1</v>
      </c>
      <c r="G2" s="78">
        <f>IF(C2=D2,"0",IF(D2&gt;C2,D2-C2,C2-D2))</f>
        <v>1</v>
      </c>
      <c r="H2" s="79" t="str">
        <f t="shared" ref="H2:H4" si="2">IF(C2=D2,"", IF(C2&gt;D2,B2,A2))</f>
        <v>Limón</v>
      </c>
      <c r="I2" s="80" t="str">
        <f>IF(C2=D2,A2,"")</f>
        <v/>
      </c>
      <c r="J2" s="81" t="str">
        <f>IF(C2=D2,B2,"")</f>
        <v/>
      </c>
    </row>
    <row r="3" spans="1:10" ht="15.75" x14ac:dyDescent="0.25">
      <c r="A3" s="73" t="s">
        <v>102</v>
      </c>
      <c r="B3" s="74" t="s">
        <v>108</v>
      </c>
      <c r="C3" s="75">
        <v>3</v>
      </c>
      <c r="D3" s="75">
        <v>2</v>
      </c>
      <c r="E3" s="76" t="str">
        <f t="shared" si="0"/>
        <v>Alajuela</v>
      </c>
      <c r="F3" s="77">
        <f t="shared" si="1"/>
        <v>-1</v>
      </c>
      <c r="G3" s="78">
        <f t="shared" ref="G3:G5" si="3">IF(C3=D3,"0",IF(D3&gt;C3,D3-C3,C3-D3))</f>
        <v>1</v>
      </c>
      <c r="H3" s="79" t="str">
        <f t="shared" si="2"/>
        <v>Carmelita</v>
      </c>
      <c r="I3" s="80" t="str">
        <f t="shared" ref="I3:I5" si="4">IF(C3=D3,A3,"")</f>
        <v/>
      </c>
      <c r="J3" s="81" t="str">
        <f t="shared" ref="J3:J5" si="5">IF(C3=D3,B3,"")</f>
        <v/>
      </c>
    </row>
    <row r="4" spans="1:10" ht="15.75" x14ac:dyDescent="0.25">
      <c r="A4" s="73" t="s">
        <v>103</v>
      </c>
      <c r="B4" s="74" t="s">
        <v>107</v>
      </c>
      <c r="C4" s="75">
        <v>3</v>
      </c>
      <c r="D4" s="75">
        <v>3</v>
      </c>
      <c r="E4" s="76" t="str">
        <f t="shared" si="0"/>
        <v/>
      </c>
      <c r="F4" s="77" t="str">
        <f t="shared" si="1"/>
        <v>0</v>
      </c>
      <c r="G4" s="78" t="str">
        <f t="shared" si="3"/>
        <v>0</v>
      </c>
      <c r="H4" s="79" t="str">
        <f t="shared" si="2"/>
        <v/>
      </c>
      <c r="I4" s="80" t="str">
        <f t="shared" si="4"/>
        <v>Heredia</v>
      </c>
      <c r="J4" s="81" t="str">
        <f t="shared" si="5"/>
        <v>UCR</v>
      </c>
    </row>
    <row r="5" spans="1:10" ht="15.75" x14ac:dyDescent="0.25">
      <c r="A5" s="73" t="s">
        <v>104</v>
      </c>
      <c r="B5" s="74" t="s">
        <v>106</v>
      </c>
      <c r="C5" s="75">
        <v>4</v>
      </c>
      <c r="D5" s="75">
        <v>4</v>
      </c>
      <c r="E5" s="76" t="str">
        <f t="shared" si="0"/>
        <v/>
      </c>
      <c r="F5" s="77" t="str">
        <f t="shared" si="1"/>
        <v>0</v>
      </c>
      <c r="G5" s="78" t="str">
        <f t="shared" si="3"/>
        <v>0</v>
      </c>
      <c r="H5" s="79" t="str">
        <f>IF(C5=D5,"", IF(C5&gt;D5,B5,A5))</f>
        <v/>
      </c>
      <c r="I5" s="80" t="str">
        <f t="shared" si="4"/>
        <v>San Carlos</v>
      </c>
      <c r="J5" s="81" t="str">
        <f t="shared" si="5"/>
        <v>Saprissa</v>
      </c>
    </row>
    <row r="9" spans="1:10" x14ac:dyDescent="0.25">
      <c r="B9" s="83" t="s">
        <v>115</v>
      </c>
      <c r="C9" s="83" t="s">
        <v>116</v>
      </c>
      <c r="D9" s="83" t="s">
        <v>117</v>
      </c>
      <c r="E9" s="83" t="s">
        <v>29</v>
      </c>
    </row>
    <row r="10" spans="1:10" x14ac:dyDescent="0.25">
      <c r="B10" s="83">
        <v>91</v>
      </c>
      <c r="C10" s="83">
        <v>91</v>
      </c>
      <c r="D10" s="83">
        <v>91</v>
      </c>
      <c r="E10" s="83" t="str">
        <f>IF(AND(B10&gt;=90,C10&gt;=90,D10&gt;=90),"Eximido","NO eximido")</f>
        <v>Eximido</v>
      </c>
    </row>
  </sheetData>
  <mergeCells count="2">
    <mergeCell ref="C1:D1"/>
    <mergeCell ref="I1:J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N14"/>
  <sheetViews>
    <sheetView showGridLines="0" tabSelected="1" workbookViewId="0">
      <selection activeCell="I4" sqref="I4"/>
    </sheetView>
  </sheetViews>
  <sheetFormatPr baseColWidth="10" defaultRowHeight="15" x14ac:dyDescent="0.25"/>
  <cols>
    <col min="5" max="5" width="17.5703125" bestFit="1" customWidth="1"/>
    <col min="6" max="6" width="15" bestFit="1" customWidth="1"/>
  </cols>
  <sheetData>
    <row r="1" spans="1:14" ht="39" customHeight="1" x14ac:dyDescent="0.5">
      <c r="A1" s="92"/>
      <c r="B1" s="92"/>
      <c r="C1" s="92"/>
      <c r="E1" s="162" t="s">
        <v>118</v>
      </c>
      <c r="F1" s="91" t="str">
        <f>IF(OR(AND(A1="X",B1="X",C1="X"),AND(A1="X",A2="X",A3="X"),AND(B1="X",B2="X",B3="X"),AND(C1="X",C2="X",C3="X"),AND(A1="X",B2="X",C3="X"),AND(C1="X",B2="X",A3="X"),AND(A2="X",B2="X",C2="X"),AND(A3="X",B3="X",C3="X")),"Ganador","")</f>
        <v/>
      </c>
      <c r="G1" s="84"/>
    </row>
    <row r="2" spans="1:14" ht="39" customHeight="1" x14ac:dyDescent="0.9">
      <c r="A2" s="92"/>
      <c r="B2" s="92"/>
      <c r="C2" s="92"/>
      <c r="E2" s="90" t="s">
        <v>119</v>
      </c>
      <c r="F2" s="91" t="str">
        <f>IF(OR(AND(A1="O",B1="O",C1="O"),AND(A1="O",A2="O",A3="O"),AND(B1="O",B2="O",B3="O"),AND(C1="O",C2="O",C3="O"),AND(A1="O",B2="O",C3="O"),AND(C1="O",B2="O",A3="O"),AND(A2="O",B2="O",C2="O"),AND(A3="O",B3="O",C3="O")),"Ganador","")</f>
        <v/>
      </c>
      <c r="G2" s="84"/>
      <c r="H2" s="163"/>
      <c r="I2" s="164"/>
    </row>
    <row r="3" spans="1:14" ht="39" customHeight="1" x14ac:dyDescent="0.7">
      <c r="A3" s="92"/>
      <c r="B3" s="92"/>
      <c r="C3" s="92"/>
      <c r="D3" s="93">
        <f>COUNTA(A1,B1,C1,A2,B2,C2,A3,B3,C3)</f>
        <v>0</v>
      </c>
      <c r="E3" s="152" t="str">
        <f>IF(AND(D3=9,F1="",F2=""),"Empate","")</f>
        <v/>
      </c>
      <c r="F3" s="152"/>
      <c r="G3" s="84"/>
    </row>
    <row r="4" spans="1:14" x14ac:dyDescent="0.25">
      <c r="A4" s="82"/>
      <c r="B4" s="82"/>
      <c r="C4" s="82"/>
      <c r="D4" s="84"/>
      <c r="G4" s="84"/>
    </row>
    <row r="5" spans="1:14" x14ac:dyDescent="0.25">
      <c r="B5" s="85"/>
      <c r="C5" s="86"/>
      <c r="D5" s="87"/>
      <c r="E5" s="86"/>
      <c r="F5" s="86"/>
      <c r="G5" s="87"/>
      <c r="H5" s="86"/>
      <c r="I5" s="86"/>
      <c r="J5" s="86"/>
      <c r="K5" s="86"/>
      <c r="L5" s="86"/>
      <c r="M5" s="86"/>
      <c r="N5" s="87"/>
    </row>
    <row r="6" spans="1:14" x14ac:dyDescent="0.25">
      <c r="D6" s="88"/>
      <c r="G6" s="84"/>
    </row>
    <row r="7" spans="1:14" x14ac:dyDescent="0.25">
      <c r="D7" s="89"/>
      <c r="G7" s="84"/>
    </row>
    <row r="8" spans="1:14" x14ac:dyDescent="0.25">
      <c r="G8" s="84"/>
    </row>
    <row r="9" spans="1:14" x14ac:dyDescent="0.25">
      <c r="B9" s="85"/>
      <c r="C9" s="86"/>
      <c r="D9" s="86"/>
      <c r="E9" s="86"/>
      <c r="F9" s="86"/>
      <c r="G9" s="87"/>
      <c r="H9" s="86"/>
      <c r="I9" s="86"/>
      <c r="J9" s="86"/>
      <c r="K9" s="86"/>
      <c r="L9" s="86"/>
      <c r="M9" s="86"/>
      <c r="N9" s="87"/>
    </row>
    <row r="10" spans="1:14" x14ac:dyDescent="0.25">
      <c r="G10" s="84"/>
    </row>
    <row r="11" spans="1:14" x14ac:dyDescent="0.25">
      <c r="G11" s="84"/>
    </row>
    <row r="12" spans="1:14" x14ac:dyDescent="0.25">
      <c r="B12" s="85"/>
      <c r="C12" s="86"/>
      <c r="D12" s="86"/>
      <c r="E12" s="86"/>
      <c r="F12" s="86"/>
      <c r="G12" s="87"/>
      <c r="H12" s="86"/>
      <c r="I12" s="86"/>
      <c r="J12" s="86"/>
      <c r="K12" s="86"/>
      <c r="L12" s="86"/>
      <c r="M12" s="87"/>
    </row>
    <row r="13" spans="1:14" x14ac:dyDescent="0.25">
      <c r="G13" s="84"/>
    </row>
    <row r="14" spans="1:14" x14ac:dyDescent="0.25">
      <c r="G14" s="84"/>
    </row>
  </sheetData>
  <mergeCells count="2">
    <mergeCell ref="E3:F3"/>
    <mergeCell ref="H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K17"/>
  <sheetViews>
    <sheetView workbookViewId="0">
      <selection activeCell="G15" sqref="G15"/>
    </sheetView>
  </sheetViews>
  <sheetFormatPr baseColWidth="10" defaultRowHeight="15" x14ac:dyDescent="0.25"/>
  <cols>
    <col min="1" max="1" width="3" customWidth="1"/>
    <col min="2" max="2" width="13.85546875" bestFit="1" customWidth="1"/>
    <col min="4" max="4" width="16.5703125" bestFit="1" customWidth="1"/>
    <col min="6" max="6" width="2.85546875" customWidth="1"/>
  </cols>
  <sheetData>
    <row r="1" spans="1:11" x14ac:dyDescent="0.25">
      <c r="A1" s="94"/>
      <c r="B1" s="94"/>
      <c r="C1" s="94"/>
      <c r="D1" s="94"/>
      <c r="E1" s="94"/>
      <c r="F1" s="94"/>
    </row>
    <row r="2" spans="1:11" ht="15.75" x14ac:dyDescent="0.25">
      <c r="A2" s="94"/>
      <c r="B2" s="153" t="s">
        <v>142</v>
      </c>
      <c r="C2" s="153"/>
      <c r="D2" s="153"/>
      <c r="E2" s="153"/>
      <c r="F2" s="94"/>
    </row>
    <row r="3" spans="1:11" ht="15.75" x14ac:dyDescent="0.25">
      <c r="A3" s="94"/>
      <c r="B3" s="127" t="s">
        <v>120</v>
      </c>
      <c r="C3" s="156">
        <v>115490622</v>
      </c>
      <c r="D3" s="156"/>
      <c r="E3" s="156"/>
      <c r="F3" s="94"/>
    </row>
    <row r="4" spans="1:11" ht="15.75" x14ac:dyDescent="0.25">
      <c r="A4" s="94"/>
      <c r="B4" s="69" t="s">
        <v>9</v>
      </c>
      <c r="C4" s="155" t="str">
        <f>LOOKUP(C3,Docentes!B3:B12,Docentes!C3:C12)</f>
        <v>Pablo Alvarado</v>
      </c>
      <c r="D4" s="155"/>
      <c r="E4" s="155"/>
      <c r="F4" s="94"/>
    </row>
    <row r="5" spans="1:11" ht="15.75" x14ac:dyDescent="0.25">
      <c r="A5" s="94"/>
      <c r="B5" s="128" t="s">
        <v>143</v>
      </c>
      <c r="C5" s="132">
        <f>LOOKUP(C3,Docentes!B3:B12,Docentes!F3:F12)</f>
        <v>15000</v>
      </c>
      <c r="D5" s="135" t="s">
        <v>122</v>
      </c>
      <c r="E5" s="137" t="str">
        <f>LOOKUP(C3,Docentes!B3:B12,Docentes!E3:E12)</f>
        <v>Licenciado</v>
      </c>
      <c r="F5" s="94"/>
    </row>
    <row r="6" spans="1:11" ht="15.75" x14ac:dyDescent="0.25">
      <c r="A6" s="94"/>
      <c r="B6" s="129" t="s">
        <v>144</v>
      </c>
      <c r="C6" s="75">
        <f>LOOKUP(C3,Docentes!B3:B12,Docentes!G3:G12)</f>
        <v>750000</v>
      </c>
      <c r="D6" s="136" t="s">
        <v>121</v>
      </c>
      <c r="E6" s="138">
        <f>LOOKUP(C3,Docentes!B3:B12,Docentes!D3:D12)</f>
        <v>50</v>
      </c>
      <c r="F6" s="94"/>
    </row>
    <row r="7" spans="1:11" ht="15.75" x14ac:dyDescent="0.25">
      <c r="A7" s="94"/>
      <c r="B7" s="130" t="s">
        <v>145</v>
      </c>
      <c r="C7" s="133">
        <f>LOOKUP(C3,Docentes!B3:B12,Docentes!H3:H12)</f>
        <v>37500</v>
      </c>
      <c r="D7" s="154" t="s">
        <v>128</v>
      </c>
      <c r="E7" s="157">
        <f>LOOKUP(C3,Docentes!B3:B12,Docentes!J3:J12)</f>
        <v>615000</v>
      </c>
      <c r="F7" s="94"/>
    </row>
    <row r="8" spans="1:11" ht="15.75" x14ac:dyDescent="0.25">
      <c r="A8" s="94"/>
      <c r="B8" s="131" t="s">
        <v>126</v>
      </c>
      <c r="C8" s="134">
        <f>LOOKUP(C3,Docentes!B3:B12,Docentes!I3:I12)</f>
        <v>97500</v>
      </c>
      <c r="D8" s="154"/>
      <c r="E8" s="157"/>
      <c r="F8" s="94"/>
      <c r="K8" s="100">
        <v>115490622</v>
      </c>
    </row>
    <row r="9" spans="1:11" x14ac:dyDescent="0.25">
      <c r="A9" s="94"/>
      <c r="B9" s="94"/>
      <c r="C9" s="94"/>
      <c r="D9" s="94"/>
      <c r="E9" s="94"/>
      <c r="F9" s="94"/>
      <c r="K9" s="100">
        <v>109485765</v>
      </c>
    </row>
    <row r="10" spans="1:11" x14ac:dyDescent="0.25">
      <c r="K10" s="100">
        <v>109110681</v>
      </c>
    </row>
    <row r="11" spans="1:11" x14ac:dyDescent="0.25">
      <c r="K11" s="100">
        <v>145806980</v>
      </c>
    </row>
    <row r="12" spans="1:11" x14ac:dyDescent="0.25">
      <c r="K12" s="100">
        <v>147089036</v>
      </c>
    </row>
    <row r="13" spans="1:11" x14ac:dyDescent="0.25">
      <c r="K13" s="100">
        <v>175849603</v>
      </c>
    </row>
    <row r="14" spans="1:11" x14ac:dyDescent="0.25">
      <c r="K14" s="100">
        <v>164525301</v>
      </c>
    </row>
    <row r="15" spans="1:11" x14ac:dyDescent="0.25">
      <c r="K15" s="100">
        <v>154876123</v>
      </c>
    </row>
    <row r="16" spans="1:11" x14ac:dyDescent="0.25">
      <c r="K16" s="100">
        <v>102545875</v>
      </c>
    </row>
    <row r="17" spans="11:11" x14ac:dyDescent="0.25">
      <c r="K17" s="101">
        <v>102654839</v>
      </c>
    </row>
  </sheetData>
  <mergeCells count="5">
    <mergeCell ref="B2:E2"/>
    <mergeCell ref="D7:D8"/>
    <mergeCell ref="C4:E4"/>
    <mergeCell ref="C3:E3"/>
    <mergeCell ref="E7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H5"/>
  <sheetViews>
    <sheetView workbookViewId="0">
      <selection activeCell="G6" sqref="G6"/>
    </sheetView>
  </sheetViews>
  <sheetFormatPr baseColWidth="10" defaultRowHeight="15" x14ac:dyDescent="0.25"/>
  <cols>
    <col min="1" max="1" width="10.7109375" bestFit="1" customWidth="1"/>
  </cols>
  <sheetData>
    <row r="1" spans="1:8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146</v>
      </c>
    </row>
    <row r="2" spans="1:8" x14ac:dyDescent="0.25">
      <c r="A2" s="139">
        <v>43510</v>
      </c>
      <c r="B2" s="139">
        <v>43511</v>
      </c>
      <c r="C2" s="139">
        <v>43512</v>
      </c>
      <c r="D2" s="139">
        <v>43513</v>
      </c>
      <c r="E2" s="139">
        <v>43514</v>
      </c>
      <c r="F2" s="139">
        <v>43515</v>
      </c>
      <c r="G2" s="139">
        <v>43516</v>
      </c>
      <c r="H2" s="139">
        <v>43517</v>
      </c>
    </row>
    <row r="4" spans="1:8" x14ac:dyDescent="0.25">
      <c r="A4" t="s">
        <v>146</v>
      </c>
      <c r="B4" t="s">
        <v>146</v>
      </c>
      <c r="C4" t="s">
        <v>146</v>
      </c>
      <c r="D4" t="s">
        <v>146</v>
      </c>
      <c r="E4" t="s">
        <v>146</v>
      </c>
      <c r="F4" t="s">
        <v>146</v>
      </c>
      <c r="G4" t="s">
        <v>146</v>
      </c>
      <c r="H4" t="s">
        <v>146</v>
      </c>
    </row>
    <row r="5" spans="1:8" x14ac:dyDescent="0.25">
      <c r="A5" s="139">
        <v>43510</v>
      </c>
      <c r="B5" s="139">
        <f>A5+7</f>
        <v>43517</v>
      </c>
      <c r="C5" s="139">
        <f t="shared" ref="C5:H5" si="0">B5+7</f>
        <v>43524</v>
      </c>
      <c r="D5" s="139">
        <f t="shared" si="0"/>
        <v>43531</v>
      </c>
      <c r="E5" s="139">
        <f t="shared" si="0"/>
        <v>43538</v>
      </c>
      <c r="F5" s="139">
        <f t="shared" si="0"/>
        <v>43545</v>
      </c>
      <c r="G5" s="139">
        <f t="shared" si="0"/>
        <v>43552</v>
      </c>
      <c r="H5" s="139">
        <f t="shared" si="0"/>
        <v>43559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K18"/>
  <sheetViews>
    <sheetView workbookViewId="0">
      <pane xSplit="3" ySplit="13" topLeftCell="H14" activePane="bottomRight" state="frozenSplit"/>
      <selection pane="topRight" activeCell="D1" sqref="D1"/>
      <selection pane="bottomLeft" activeCell="A14" sqref="A14"/>
      <selection pane="bottomRight" activeCell="H14" sqref="H14"/>
    </sheetView>
  </sheetViews>
  <sheetFormatPr baseColWidth="10" defaultRowHeight="15" x14ac:dyDescent="0.25"/>
  <cols>
    <col min="1" max="1" width="4" customWidth="1"/>
    <col min="2" max="2" width="21.28515625" bestFit="1" customWidth="1"/>
    <col min="3" max="3" width="20" bestFit="1" customWidth="1"/>
    <col min="4" max="4" width="13.85546875" bestFit="1" customWidth="1"/>
    <col min="5" max="5" width="16.5703125" bestFit="1" customWidth="1"/>
    <col min="6" max="6" width="12.42578125" bestFit="1" customWidth="1"/>
    <col min="11" max="11" width="4" customWidth="1"/>
  </cols>
  <sheetData>
    <row r="1" spans="1:11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25">
      <c r="A2" s="97" t="s">
        <v>97</v>
      </c>
      <c r="B2" s="99" t="s">
        <v>120</v>
      </c>
      <c r="C2" s="104" t="s">
        <v>9</v>
      </c>
      <c r="D2" s="106" t="s">
        <v>121</v>
      </c>
      <c r="E2" s="109" t="s">
        <v>122</v>
      </c>
      <c r="F2" s="47" t="s">
        <v>123</v>
      </c>
      <c r="G2" s="41" t="s">
        <v>124</v>
      </c>
      <c r="H2" s="35" t="s">
        <v>125</v>
      </c>
      <c r="I2" s="118" t="s">
        <v>127</v>
      </c>
      <c r="J2" s="121" t="s">
        <v>128</v>
      </c>
      <c r="K2" s="94"/>
    </row>
    <row r="3" spans="1:11" x14ac:dyDescent="0.25">
      <c r="A3" s="97">
        <v>1</v>
      </c>
      <c r="B3" s="100">
        <v>102545875</v>
      </c>
      <c r="C3" s="30" t="s">
        <v>140</v>
      </c>
      <c r="D3" s="107">
        <v>15</v>
      </c>
      <c r="E3" s="110" t="str">
        <f t="shared" ref="E3:E12" si="0">IF(D3&gt;=40,"Licenciado",IF(D3&gt;=30,"Bachiller",IF(D3&gt;=10,"Diplomado","Aspirante")))</f>
        <v>Diplomado</v>
      </c>
      <c r="F3" s="112">
        <f t="shared" ref="F3:F12" si="1">IF(E3="Licenciado",15000,IF(E3="Bachiller",10000,IF(E3="Diplomado", 5000,3000)))</f>
        <v>5000</v>
      </c>
      <c r="G3" s="114">
        <f t="shared" ref="G3:G12" si="2">D3*F3</f>
        <v>75000</v>
      </c>
      <c r="H3" s="116">
        <f t="shared" ref="H3:H12" si="3">G3*5%</f>
        <v>3750</v>
      </c>
      <c r="I3" s="119">
        <f t="shared" ref="I3:I12" si="4">G3*13%</f>
        <v>9750</v>
      </c>
      <c r="J3" s="122">
        <f t="shared" ref="J3:J12" si="5">G3-H3-I3</f>
        <v>61500</v>
      </c>
      <c r="K3" s="94"/>
    </row>
    <row r="4" spans="1:11" x14ac:dyDescent="0.25">
      <c r="A4" s="97">
        <v>2</v>
      </c>
      <c r="B4" s="100">
        <v>102654839</v>
      </c>
      <c r="C4" s="30" t="s">
        <v>141</v>
      </c>
      <c r="D4" s="107">
        <v>60</v>
      </c>
      <c r="E4" s="110" t="str">
        <f t="shared" si="0"/>
        <v>Licenciado</v>
      </c>
      <c r="F4" s="112">
        <f t="shared" si="1"/>
        <v>15000</v>
      </c>
      <c r="G4" s="114">
        <f t="shared" si="2"/>
        <v>900000</v>
      </c>
      <c r="H4" s="116">
        <f t="shared" si="3"/>
        <v>45000</v>
      </c>
      <c r="I4" s="119">
        <f t="shared" si="4"/>
        <v>117000</v>
      </c>
      <c r="J4" s="122">
        <f t="shared" si="5"/>
        <v>738000</v>
      </c>
      <c r="K4" s="94"/>
    </row>
    <row r="5" spans="1:11" x14ac:dyDescent="0.25">
      <c r="A5" s="97">
        <v>3</v>
      </c>
      <c r="B5" s="100">
        <v>109110681</v>
      </c>
      <c r="C5" s="30" t="s">
        <v>134</v>
      </c>
      <c r="D5" s="107">
        <v>6</v>
      </c>
      <c r="E5" s="110" t="str">
        <f t="shared" si="0"/>
        <v>Aspirante</v>
      </c>
      <c r="F5" s="112">
        <f t="shared" si="1"/>
        <v>3000</v>
      </c>
      <c r="G5" s="114">
        <f t="shared" si="2"/>
        <v>18000</v>
      </c>
      <c r="H5" s="116">
        <f t="shared" si="3"/>
        <v>900</v>
      </c>
      <c r="I5" s="119">
        <f t="shared" si="4"/>
        <v>2340</v>
      </c>
      <c r="J5" s="122">
        <f t="shared" si="5"/>
        <v>14760</v>
      </c>
      <c r="K5" s="94"/>
    </row>
    <row r="6" spans="1:11" x14ac:dyDescent="0.25">
      <c r="A6" s="97">
        <v>4</v>
      </c>
      <c r="B6" s="100">
        <v>109485765</v>
      </c>
      <c r="C6" s="30" t="s">
        <v>133</v>
      </c>
      <c r="D6" s="107">
        <v>51</v>
      </c>
      <c r="E6" s="110" t="str">
        <f t="shared" si="0"/>
        <v>Licenciado</v>
      </c>
      <c r="F6" s="112">
        <f t="shared" si="1"/>
        <v>15000</v>
      </c>
      <c r="G6" s="114">
        <f t="shared" si="2"/>
        <v>765000</v>
      </c>
      <c r="H6" s="116">
        <f t="shared" si="3"/>
        <v>38250</v>
      </c>
      <c r="I6" s="119">
        <f t="shared" si="4"/>
        <v>99450</v>
      </c>
      <c r="J6" s="122">
        <f t="shared" si="5"/>
        <v>627300</v>
      </c>
      <c r="K6" s="94"/>
    </row>
    <row r="7" spans="1:11" x14ac:dyDescent="0.25">
      <c r="A7" s="97">
        <v>5</v>
      </c>
      <c r="B7" s="100">
        <v>115490622</v>
      </c>
      <c r="C7" s="30" t="s">
        <v>132</v>
      </c>
      <c r="D7" s="107">
        <v>50</v>
      </c>
      <c r="E7" s="110" t="str">
        <f t="shared" si="0"/>
        <v>Licenciado</v>
      </c>
      <c r="F7" s="112">
        <f t="shared" si="1"/>
        <v>15000</v>
      </c>
      <c r="G7" s="114">
        <f t="shared" si="2"/>
        <v>750000</v>
      </c>
      <c r="H7" s="116">
        <f t="shared" si="3"/>
        <v>37500</v>
      </c>
      <c r="I7" s="119">
        <f t="shared" si="4"/>
        <v>97500</v>
      </c>
      <c r="J7" s="122">
        <f t="shared" si="5"/>
        <v>615000</v>
      </c>
      <c r="K7" s="94"/>
    </row>
    <row r="8" spans="1:11" x14ac:dyDescent="0.25">
      <c r="A8" s="97">
        <v>6</v>
      </c>
      <c r="B8" s="100">
        <v>145806980</v>
      </c>
      <c r="C8" s="30" t="s">
        <v>135</v>
      </c>
      <c r="D8" s="107">
        <v>10</v>
      </c>
      <c r="E8" s="110" t="str">
        <f t="shared" si="0"/>
        <v>Diplomado</v>
      </c>
      <c r="F8" s="112">
        <f t="shared" si="1"/>
        <v>5000</v>
      </c>
      <c r="G8" s="114">
        <f t="shared" si="2"/>
        <v>50000</v>
      </c>
      <c r="H8" s="116">
        <f t="shared" si="3"/>
        <v>2500</v>
      </c>
      <c r="I8" s="119">
        <f t="shared" si="4"/>
        <v>6500</v>
      </c>
      <c r="J8" s="122">
        <f t="shared" si="5"/>
        <v>41000</v>
      </c>
      <c r="K8" s="94"/>
    </row>
    <row r="9" spans="1:11" x14ac:dyDescent="0.25">
      <c r="A9" s="97">
        <v>7</v>
      </c>
      <c r="B9" s="100">
        <v>147089036</v>
      </c>
      <c r="C9" s="30" t="s">
        <v>136</v>
      </c>
      <c r="D9" s="107">
        <v>24</v>
      </c>
      <c r="E9" s="110" t="str">
        <f t="shared" si="0"/>
        <v>Diplomado</v>
      </c>
      <c r="F9" s="112">
        <f t="shared" si="1"/>
        <v>5000</v>
      </c>
      <c r="G9" s="114">
        <f t="shared" si="2"/>
        <v>120000</v>
      </c>
      <c r="H9" s="116">
        <f t="shared" si="3"/>
        <v>6000</v>
      </c>
      <c r="I9" s="119">
        <f t="shared" si="4"/>
        <v>15600</v>
      </c>
      <c r="J9" s="122">
        <f t="shared" si="5"/>
        <v>98400</v>
      </c>
      <c r="K9" s="94"/>
    </row>
    <row r="10" spans="1:11" x14ac:dyDescent="0.25">
      <c r="A10" s="97">
        <v>8</v>
      </c>
      <c r="B10" s="100">
        <v>154876123</v>
      </c>
      <c r="C10" s="30" t="s">
        <v>139</v>
      </c>
      <c r="D10" s="107">
        <v>32</v>
      </c>
      <c r="E10" s="110" t="str">
        <f t="shared" si="0"/>
        <v>Bachiller</v>
      </c>
      <c r="F10" s="112">
        <f t="shared" si="1"/>
        <v>10000</v>
      </c>
      <c r="G10" s="114">
        <f t="shared" si="2"/>
        <v>320000</v>
      </c>
      <c r="H10" s="116">
        <f t="shared" si="3"/>
        <v>16000</v>
      </c>
      <c r="I10" s="119">
        <f t="shared" si="4"/>
        <v>41600</v>
      </c>
      <c r="J10" s="122">
        <f t="shared" si="5"/>
        <v>262400</v>
      </c>
      <c r="K10" s="94"/>
    </row>
    <row r="11" spans="1:11" x14ac:dyDescent="0.25">
      <c r="A11" s="97">
        <v>9</v>
      </c>
      <c r="B11" s="100">
        <v>164525301</v>
      </c>
      <c r="C11" s="30" t="s">
        <v>138</v>
      </c>
      <c r="D11" s="107">
        <v>8</v>
      </c>
      <c r="E11" s="110" t="str">
        <f t="shared" si="0"/>
        <v>Aspirante</v>
      </c>
      <c r="F11" s="112">
        <f t="shared" si="1"/>
        <v>3000</v>
      </c>
      <c r="G11" s="114">
        <f t="shared" si="2"/>
        <v>24000</v>
      </c>
      <c r="H11" s="116">
        <f t="shared" si="3"/>
        <v>1200</v>
      </c>
      <c r="I11" s="119">
        <f t="shared" si="4"/>
        <v>3120</v>
      </c>
      <c r="J11" s="122">
        <f t="shared" si="5"/>
        <v>19680</v>
      </c>
      <c r="K11" s="94"/>
    </row>
    <row r="12" spans="1:11" x14ac:dyDescent="0.25">
      <c r="A12" s="98">
        <v>10</v>
      </c>
      <c r="B12" s="101">
        <v>175849603</v>
      </c>
      <c r="C12" s="105" t="s">
        <v>137</v>
      </c>
      <c r="D12" s="108">
        <v>36</v>
      </c>
      <c r="E12" s="111" t="str">
        <f t="shared" si="0"/>
        <v>Bachiller</v>
      </c>
      <c r="F12" s="113">
        <f t="shared" si="1"/>
        <v>10000</v>
      </c>
      <c r="G12" s="115">
        <f t="shared" si="2"/>
        <v>360000</v>
      </c>
      <c r="H12" s="117">
        <f t="shared" si="3"/>
        <v>18000</v>
      </c>
      <c r="I12" s="120">
        <f t="shared" si="4"/>
        <v>46800</v>
      </c>
      <c r="J12" s="123">
        <f t="shared" si="5"/>
        <v>295200</v>
      </c>
      <c r="K12" s="94"/>
    </row>
    <row r="13" spans="1:11" x14ac:dyDescent="0.25">
      <c r="A13" s="95"/>
      <c r="B13" s="95"/>
      <c r="C13" s="95"/>
      <c r="D13" s="95"/>
      <c r="E13" s="95"/>
      <c r="F13" s="96"/>
      <c r="G13" s="95"/>
      <c r="H13" s="95"/>
      <c r="I13" s="95"/>
      <c r="J13" s="95"/>
      <c r="K13" s="94"/>
    </row>
    <row r="14" spans="1:11" x14ac:dyDescent="0.25">
      <c r="A14" s="95" t="s">
        <v>153</v>
      </c>
      <c r="B14" s="102" t="s">
        <v>54</v>
      </c>
      <c r="C14" s="124">
        <f>MAX(J3:J12)</f>
        <v>738000</v>
      </c>
    </row>
    <row r="15" spans="1:11" x14ac:dyDescent="0.25">
      <c r="A15" s="95"/>
      <c r="B15" s="103" t="s">
        <v>55</v>
      </c>
      <c r="C15" s="125">
        <f>MIN(J3:J12)</f>
        <v>14760</v>
      </c>
    </row>
    <row r="16" spans="1:11" x14ac:dyDescent="0.25">
      <c r="A16" s="95"/>
      <c r="B16" s="103" t="s">
        <v>129</v>
      </c>
      <c r="C16" s="126">
        <f>COUNTIF(J3:J12,"&gt;500000")</f>
        <v>3</v>
      </c>
    </row>
    <row r="17" spans="1:3" x14ac:dyDescent="0.25">
      <c r="A17" s="95"/>
      <c r="B17" s="103" t="s">
        <v>130</v>
      </c>
      <c r="C17" s="126">
        <f>COUNTIF(E3:E12,"Bachiller")</f>
        <v>2</v>
      </c>
    </row>
    <row r="18" spans="1:3" x14ac:dyDescent="0.25">
      <c r="A18" s="95"/>
      <c r="B18" s="103" t="s">
        <v>131</v>
      </c>
      <c r="C18" s="126">
        <f>COUNTIF(E3:E12,"Aspirante")</f>
        <v>2</v>
      </c>
    </row>
  </sheetData>
  <sortState ref="B3:J12">
    <sortCondition ref="B3:B1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G20"/>
  <sheetViews>
    <sheetView workbookViewId="0">
      <selection activeCell="E15" sqref="E15"/>
    </sheetView>
  </sheetViews>
  <sheetFormatPr baseColWidth="10" defaultRowHeight="15" x14ac:dyDescent="0.25"/>
  <cols>
    <col min="2" max="2" width="24" bestFit="1" customWidth="1"/>
    <col min="6" max="6" width="10.85546875" customWidth="1"/>
  </cols>
  <sheetData>
    <row r="1" spans="1:7" ht="15" customHeight="1" x14ac:dyDescent="0.25">
      <c r="A1" s="160" t="s">
        <v>44</v>
      </c>
      <c r="B1" s="158" t="s">
        <v>43</v>
      </c>
      <c r="C1" s="158"/>
      <c r="D1" s="158"/>
      <c r="E1" s="158"/>
      <c r="F1" s="158"/>
      <c r="G1" s="158"/>
    </row>
    <row r="2" spans="1:7" x14ac:dyDescent="0.25">
      <c r="A2" s="161"/>
      <c r="B2" s="159" t="s">
        <v>32</v>
      </c>
      <c r="C2" s="159"/>
      <c r="D2" s="159"/>
      <c r="E2" s="159"/>
      <c r="F2" s="159"/>
      <c r="G2" s="159"/>
    </row>
    <row r="3" spans="1:7" x14ac:dyDescent="0.25">
      <c r="A3" s="161"/>
      <c r="B3" s="20" t="s">
        <v>30</v>
      </c>
      <c r="C3" s="21" t="s">
        <v>23</v>
      </c>
      <c r="D3" s="23" t="s">
        <v>31</v>
      </c>
      <c r="E3" s="24" t="s">
        <v>32</v>
      </c>
      <c r="F3" s="26" t="s">
        <v>33</v>
      </c>
      <c r="G3" s="9" t="s">
        <v>29</v>
      </c>
    </row>
    <row r="4" spans="1:7" x14ac:dyDescent="0.25">
      <c r="A4" s="161"/>
      <c r="B4" s="2" t="s">
        <v>34</v>
      </c>
      <c r="C4" s="5">
        <v>64</v>
      </c>
      <c r="D4" s="22">
        <v>13</v>
      </c>
      <c r="E4" s="25">
        <v>100</v>
      </c>
      <c r="F4" s="27">
        <f>(C4+D4+E4)/3</f>
        <v>59</v>
      </c>
      <c r="G4" s="29" t="str">
        <f>IF(F4&gt;=70,"Aprobado",IF(F4&gt;=50,"Aplazado","Reprobado"))</f>
        <v>Aplazado</v>
      </c>
    </row>
    <row r="5" spans="1:7" x14ac:dyDescent="0.25">
      <c r="A5" s="161"/>
      <c r="B5" s="2" t="s">
        <v>35</v>
      </c>
      <c r="C5" s="5">
        <v>84</v>
      </c>
      <c r="D5" s="22">
        <v>89</v>
      </c>
      <c r="E5" s="25">
        <v>85</v>
      </c>
      <c r="F5" s="27">
        <f t="shared" ref="F5:F13" si="0">(C5+D5+E5)/3</f>
        <v>86</v>
      </c>
      <c r="G5" s="29" t="str">
        <f t="shared" ref="G5:G13" si="1">IF(F5&gt;=70,"Aprobado",IF(F5&gt;=50,"Aplazado","Reprobado"))</f>
        <v>Aprobado</v>
      </c>
    </row>
    <row r="6" spans="1:7" x14ac:dyDescent="0.25">
      <c r="A6" s="161"/>
      <c r="B6" s="2" t="s">
        <v>36</v>
      </c>
      <c r="C6" s="5">
        <v>40</v>
      </c>
      <c r="D6" s="22">
        <v>71</v>
      </c>
      <c r="E6" s="25">
        <v>96</v>
      </c>
      <c r="F6" s="27">
        <f t="shared" si="0"/>
        <v>69</v>
      </c>
      <c r="G6" s="29" t="str">
        <f t="shared" si="1"/>
        <v>Aplazado</v>
      </c>
    </row>
    <row r="7" spans="1:7" x14ac:dyDescent="0.25">
      <c r="A7" s="161"/>
      <c r="B7" s="2" t="s">
        <v>37</v>
      </c>
      <c r="C7" s="5">
        <v>87</v>
      </c>
      <c r="D7" s="22">
        <v>88</v>
      </c>
      <c r="E7" s="25">
        <v>86</v>
      </c>
      <c r="F7" s="27">
        <f t="shared" si="0"/>
        <v>87</v>
      </c>
      <c r="G7" s="29" t="str">
        <f t="shared" si="1"/>
        <v>Aprobado</v>
      </c>
    </row>
    <row r="8" spans="1:7" x14ac:dyDescent="0.25">
      <c r="A8" s="161"/>
      <c r="B8" s="2" t="s">
        <v>38</v>
      </c>
      <c r="C8" s="5">
        <v>91</v>
      </c>
      <c r="D8" s="22">
        <v>91</v>
      </c>
      <c r="E8" s="25">
        <v>91</v>
      </c>
      <c r="F8" s="27">
        <f t="shared" si="0"/>
        <v>91</v>
      </c>
      <c r="G8" s="29" t="str">
        <f t="shared" si="1"/>
        <v>Aprobado</v>
      </c>
    </row>
    <row r="9" spans="1:7" x14ac:dyDescent="0.25">
      <c r="A9" s="161"/>
      <c r="B9" s="2" t="s">
        <v>39</v>
      </c>
      <c r="C9" s="5">
        <v>83</v>
      </c>
      <c r="D9" s="22">
        <v>84</v>
      </c>
      <c r="E9" s="25">
        <v>82</v>
      </c>
      <c r="F9" s="27">
        <f t="shared" si="0"/>
        <v>83</v>
      </c>
      <c r="G9" s="29" t="str">
        <f t="shared" si="1"/>
        <v>Aprobado</v>
      </c>
    </row>
    <row r="10" spans="1:7" x14ac:dyDescent="0.25">
      <c r="A10" s="161"/>
      <c r="B10" s="2" t="s">
        <v>40</v>
      </c>
      <c r="C10" s="5">
        <v>25</v>
      </c>
      <c r="D10" s="22">
        <v>100</v>
      </c>
      <c r="E10" s="25">
        <v>10</v>
      </c>
      <c r="F10" s="27">
        <f t="shared" si="0"/>
        <v>45</v>
      </c>
      <c r="G10" s="29" t="str">
        <f t="shared" si="1"/>
        <v>Reprobado</v>
      </c>
    </row>
    <row r="11" spans="1:7" x14ac:dyDescent="0.25">
      <c r="A11" s="161"/>
      <c r="B11" s="2" t="s">
        <v>41</v>
      </c>
      <c r="C11" s="5">
        <v>68</v>
      </c>
      <c r="D11" s="22">
        <v>100</v>
      </c>
      <c r="E11" s="25">
        <v>90</v>
      </c>
      <c r="F11" s="27">
        <f t="shared" si="0"/>
        <v>86</v>
      </c>
      <c r="G11" s="29" t="str">
        <f t="shared" si="1"/>
        <v>Aprobado</v>
      </c>
    </row>
    <row r="12" spans="1:7" x14ac:dyDescent="0.25">
      <c r="A12" s="161"/>
      <c r="B12" s="2" t="s">
        <v>52</v>
      </c>
      <c r="C12" s="5">
        <v>50</v>
      </c>
      <c r="D12" s="22">
        <v>87</v>
      </c>
      <c r="E12" s="25">
        <v>73</v>
      </c>
      <c r="F12" s="27">
        <f t="shared" si="0"/>
        <v>70</v>
      </c>
      <c r="G12" s="29" t="str">
        <f t="shared" si="1"/>
        <v>Aprobado</v>
      </c>
    </row>
    <row r="13" spans="1:7" x14ac:dyDescent="0.25">
      <c r="A13" s="161"/>
      <c r="B13" s="2" t="s">
        <v>42</v>
      </c>
      <c r="C13" s="5">
        <v>97</v>
      </c>
      <c r="D13" s="22">
        <v>100</v>
      </c>
      <c r="E13" s="25">
        <v>100</v>
      </c>
      <c r="F13" s="27">
        <f t="shared" si="0"/>
        <v>99</v>
      </c>
      <c r="G13" s="29" t="str">
        <f t="shared" si="1"/>
        <v>Aprobado</v>
      </c>
    </row>
    <row r="14" spans="1:7" x14ac:dyDescent="0.25">
      <c r="A14" s="161"/>
      <c r="B14" s="31" t="s">
        <v>45</v>
      </c>
      <c r="C14" s="5">
        <f>COUNTA(B4:B13)</f>
        <v>10</v>
      </c>
      <c r="D14" s="19"/>
      <c r="E14" s="19"/>
      <c r="F14" s="19"/>
      <c r="G14" s="19"/>
    </row>
    <row r="15" spans="1:7" x14ac:dyDescent="0.25">
      <c r="A15" s="161"/>
      <c r="B15" s="31" t="s">
        <v>46</v>
      </c>
      <c r="C15" s="30">
        <f>MAX(F4:F13)</f>
        <v>99</v>
      </c>
    </row>
    <row r="16" spans="1:7" x14ac:dyDescent="0.25">
      <c r="A16" s="161"/>
      <c r="B16" s="31" t="s">
        <v>47</v>
      </c>
      <c r="C16" s="30">
        <f>MIN(F4:F13)</f>
        <v>45</v>
      </c>
    </row>
    <row r="17" spans="1:3" x14ac:dyDescent="0.25">
      <c r="A17" s="161"/>
      <c r="B17" s="31" t="s">
        <v>48</v>
      </c>
      <c r="C17" s="30">
        <f>COUNTIF(F4:F13,"&gt;85")</f>
        <v>5</v>
      </c>
    </row>
    <row r="18" spans="1:3" x14ac:dyDescent="0.25">
      <c r="A18" s="161"/>
      <c r="B18" s="31" t="s">
        <v>49</v>
      </c>
      <c r="C18" s="30">
        <f>COUNTIF(F4:F13,"&gt;=70")</f>
        <v>7</v>
      </c>
    </row>
    <row r="19" spans="1:3" x14ac:dyDescent="0.25">
      <c r="A19" s="161"/>
      <c r="B19" s="31" t="s">
        <v>50</v>
      </c>
      <c r="C19" s="30">
        <f>COUNTIF(G4:G13,"Aplazado")</f>
        <v>2</v>
      </c>
    </row>
    <row r="20" spans="1:3" x14ac:dyDescent="0.25">
      <c r="A20" s="161"/>
      <c r="B20" s="31" t="s">
        <v>51</v>
      </c>
      <c r="C20" s="30">
        <f>COUNTIF(F4:F13,"&lt;50")</f>
        <v>1</v>
      </c>
    </row>
  </sheetData>
  <mergeCells count="3">
    <mergeCell ref="B1:G1"/>
    <mergeCell ref="B2:G2"/>
    <mergeCell ref="A1:A20"/>
  </mergeCells>
  <conditionalFormatting sqref="F4:F13">
    <cfRule type="cellIs" dxfId="18" priority="1" operator="between">
      <formula>69</formula>
      <formula>50</formula>
    </cfRule>
    <cfRule type="cellIs" dxfId="17" priority="15" operator="greaterThan">
      <formula>73.5</formula>
    </cfRule>
    <cfRule type="cellIs" dxfId="16" priority="17" operator="lessThan">
      <formula>70</formula>
    </cfRule>
    <cfRule type="cellIs" dxfId="15" priority="18" operator="lessThan">
      <formula>69</formula>
    </cfRule>
    <cfRule type="cellIs" dxfId="14" priority="19" operator="greaterThan">
      <formula>69</formula>
    </cfRule>
    <cfRule type="cellIs" dxfId="13" priority="20" operator="greaterThan">
      <formula>69</formula>
    </cfRule>
  </conditionalFormatting>
  <conditionalFormatting sqref="F5:F13">
    <cfRule type="cellIs" dxfId="12" priority="16" operator="greaterThan">
      <formula>69</formula>
    </cfRule>
  </conditionalFormatting>
  <conditionalFormatting sqref="G4:G13">
    <cfRule type="containsText" dxfId="11" priority="9" operator="containsText" text="Aplazado">
      <formula>NOT(ISERROR(SEARCH("Aplazado",G4)))</formula>
    </cfRule>
    <cfRule type="cellIs" dxfId="10" priority="11" operator="greaterThan">
      <formula>69</formula>
    </cfRule>
    <cfRule type="cellIs" dxfId="9" priority="13" operator="lessThan">
      <formula>"Aplazado"</formula>
    </cfRule>
    <cfRule type="cellIs" dxfId="8" priority="14" operator="greaterThan">
      <formula>"Aplazado"</formula>
    </cfRule>
  </conditionalFormatting>
  <conditionalFormatting sqref="G10">
    <cfRule type="cellIs" dxfId="7" priority="12" operator="lessThan">
      <formula>$G$4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4CC3633-77F3-4B21-8A98-328A8F9EF788}">
            <xm:f>NOT(ISERROR(SEARCH($G$7,G4)))</xm:f>
            <xm:f>$G$7</xm:f>
            <x14:dxf>
              <font>
                <color theme="4" tint="-0.499984740745262"/>
              </font>
            </x14:dxf>
          </x14:cfRule>
          <x14:cfRule type="containsText" priority="3" operator="containsText" id="{91A09399-6461-458A-94B4-4C2DE2072529}">
            <xm:f>NOT(ISERROR(SEARCH($G$4,G4)))</xm:f>
            <xm:f>$G$4</xm:f>
            <x14:dxf>
              <font>
                <color rgb="FFFFFF00"/>
              </font>
            </x14:dxf>
          </x14:cfRule>
          <x14:cfRule type="containsText" priority="5" operator="containsText" id="{C9627408-12BB-4BD4-A642-53A346ABCF1F}">
            <xm:f>NOT(ISERROR(SEARCH($G$4,G4)))</xm:f>
            <xm:f>$G$4</xm:f>
            <x14:dxf>
              <font>
                <color rgb="FFFFFF00"/>
              </font>
            </x14:dxf>
          </x14:cfRule>
          <x14:cfRule type="containsText" priority="6" operator="containsText" id="{86900398-12CE-4A45-B4EB-DA2815033DE1}">
            <xm:f>NOT(ISERROR(SEARCH($G$10,G4)))</xm:f>
            <xm:f>$G$10</xm:f>
            <x14:dxf>
              <font>
                <color rgb="FF9C0006"/>
              </font>
            </x14:dxf>
          </x14:cfRule>
          <x14:cfRule type="containsText" priority="7" operator="containsText" id="{8301BFCB-C3D6-4E04-835C-3257C11F1CFC}">
            <xm:f>NOT(ISERROR(SEARCH($G$5,G4)))</xm:f>
            <xm:f>$G$5</xm:f>
            <x14:dxf>
              <font>
                <color theme="1" tint="0.14996795556505021"/>
              </font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ontainsText" priority="8" operator="containsText" id="{6861B780-622E-409C-B6DC-B8E78B87EE0A}">
            <xm:f>NOT(ISERROR(SEARCH($G$4,G4)))</xm:f>
            <xm:f>$G$4</xm:f>
            <x14:dxf>
              <font>
                <color rgb="FF9C0006"/>
              </font>
            </x14:dxf>
          </x14:cfRule>
          <xm:sqref>G4:G13</xm:sqref>
        </x14:conditionalFormatting>
        <x14:conditionalFormatting xmlns:xm="http://schemas.microsoft.com/office/excel/2006/main">
          <x14:cfRule type="containsText" priority="4" operator="containsText" id="{BCF69A52-061C-4DA2-A77D-FC686AA6A39A}">
            <xm:f>NOT(ISERROR(SEARCH($G$4,D6)))</xm:f>
            <xm:f>$G$4</xm:f>
            <x14:dxf>
              <font>
                <color theme="9" tint="-0.24994659260841701"/>
              </font>
            </x14:dxf>
          </x14:cfRule>
          <xm:sqref>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Gráficos</vt:lpstr>
      </vt:variant>
      <vt:variant>
        <vt:i4>1</vt:i4>
      </vt:variant>
    </vt:vector>
  </HeadingPairs>
  <TitlesOfParts>
    <vt:vector size="12" baseType="lpstr">
      <vt:lpstr>Práctica uno</vt:lpstr>
      <vt:lpstr>Planilla</vt:lpstr>
      <vt:lpstr>Precios Productos</vt:lpstr>
      <vt:lpstr>Búsqueda</vt:lpstr>
      <vt:lpstr>Factura</vt:lpstr>
      <vt:lpstr>Marcadores</vt:lpstr>
      <vt:lpstr>Gato</vt:lpstr>
      <vt:lpstr>Tabla Informatica</vt:lpstr>
      <vt:lpstr>Horarios</vt:lpstr>
      <vt:lpstr>Docentes</vt:lpstr>
      <vt:lpstr>Evaluación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Cuarto Desarrollo</dc:creator>
  <cp:lastModifiedBy>Cuarto Desarrollo</cp:lastModifiedBy>
  <dcterms:created xsi:type="dcterms:W3CDTF">2019-02-08T14:31:50Z</dcterms:created>
  <dcterms:modified xsi:type="dcterms:W3CDTF">2019-03-15T22:25:07Z</dcterms:modified>
</cp:coreProperties>
</file>