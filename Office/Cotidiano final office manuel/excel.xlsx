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arollo\Cotidiano final office\"/>
    </mc:Choice>
  </mc:AlternateContent>
  <bookViews>
    <workbookView xWindow="0" yWindow="0" windowWidth="20490" windowHeight="7665" activeTab="2"/>
  </bookViews>
  <sheets>
    <sheet name="Planilla" sheetId="1" r:id="rId1"/>
    <sheet name="Productos" sheetId="2" r:id="rId2"/>
    <sheet name="Busqued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3" l="1"/>
  <c r="E7" i="3"/>
  <c r="E6" i="3"/>
  <c r="E5" i="3"/>
  <c r="E4" i="3"/>
  <c r="C5" i="3"/>
  <c r="C4" i="3"/>
  <c r="C3" i="3"/>
  <c r="H4" i="2"/>
  <c r="H5" i="2"/>
  <c r="H6" i="2"/>
  <c r="H7" i="2"/>
  <c r="H8" i="2"/>
  <c r="H9" i="2"/>
  <c r="H10" i="2"/>
  <c r="H11" i="2"/>
  <c r="H12" i="2"/>
  <c r="H3" i="2"/>
  <c r="I4" i="2"/>
  <c r="I5" i="2"/>
  <c r="I6" i="2"/>
  <c r="I7" i="2"/>
  <c r="I8" i="2"/>
  <c r="I9" i="2"/>
  <c r="I10" i="2"/>
  <c r="I11" i="2"/>
  <c r="I12" i="2"/>
  <c r="I3" i="2"/>
  <c r="G4" i="2"/>
  <c r="G5" i="2"/>
  <c r="G6" i="2"/>
  <c r="G7" i="2"/>
  <c r="G8" i="2"/>
  <c r="G9" i="2"/>
  <c r="G10" i="2"/>
  <c r="G11" i="2"/>
  <c r="G12" i="2"/>
  <c r="G3" i="2"/>
  <c r="F4" i="2"/>
  <c r="F5" i="2"/>
  <c r="F6" i="2"/>
  <c r="F7" i="2"/>
  <c r="F8" i="2"/>
  <c r="F9" i="2"/>
  <c r="F10" i="2"/>
  <c r="F11" i="2"/>
  <c r="F12" i="2"/>
  <c r="F3" i="2"/>
  <c r="H4" i="1"/>
  <c r="C14" i="1"/>
  <c r="C13" i="1"/>
  <c r="C12" i="1"/>
  <c r="C11" i="1"/>
  <c r="C10" i="1"/>
  <c r="C9" i="1"/>
  <c r="C8" i="3" l="1"/>
  <c r="C7" i="3"/>
  <c r="H6" i="1" l="1"/>
  <c r="H7" i="1"/>
  <c r="H8" i="1"/>
  <c r="G6" i="1"/>
  <c r="G7" i="1"/>
  <c r="G8" i="1"/>
  <c r="F5" i="1"/>
  <c r="F6" i="1"/>
  <c r="F7" i="1"/>
  <c r="F8" i="1"/>
  <c r="F4" i="1"/>
  <c r="G4" i="1" s="1"/>
  <c r="E5" i="1"/>
  <c r="E6" i="1"/>
  <c r="E7" i="1"/>
  <c r="E8" i="1"/>
  <c r="E4" i="1"/>
  <c r="D5" i="1"/>
  <c r="G5" i="1" s="1"/>
  <c r="H5" i="1" s="1"/>
  <c r="D6" i="1"/>
  <c r="D7" i="1"/>
  <c r="D8" i="1"/>
  <c r="D4" i="1"/>
</calcChain>
</file>

<file path=xl/sharedStrings.xml><?xml version="1.0" encoding="utf-8"?>
<sst xmlns="http://schemas.openxmlformats.org/spreadsheetml/2006/main" count="58" uniqueCount="51">
  <si>
    <t>La Pozuelo</t>
  </si>
  <si>
    <t>Nombre Completo</t>
  </si>
  <si>
    <t>Salario Base</t>
  </si>
  <si>
    <t>CCSS 11%</t>
  </si>
  <si>
    <t>Asoc 5%</t>
  </si>
  <si>
    <t>Banco 4%</t>
  </si>
  <si>
    <t xml:space="preserve">Salario </t>
  </si>
  <si>
    <t>Condición</t>
  </si>
  <si>
    <t>Paco Fernandez</t>
  </si>
  <si>
    <t>Lucas Jimenez</t>
  </si>
  <si>
    <t>Lizbeth Aragones</t>
  </si>
  <si>
    <t>Guillermo Rodriguez</t>
  </si>
  <si>
    <t>Fernando Brenes</t>
  </si>
  <si>
    <t>Total de empleados</t>
  </si>
  <si>
    <t>Salario Minimo</t>
  </si>
  <si>
    <t>Salario Máximo</t>
  </si>
  <si>
    <t>Total de salarios mayores que 220000</t>
  </si>
  <si>
    <t>Total Clase A</t>
  </si>
  <si>
    <t>Total Clase B</t>
  </si>
  <si>
    <t>Articulo</t>
  </si>
  <si>
    <t>Marca</t>
  </si>
  <si>
    <t>Precio Compra</t>
  </si>
  <si>
    <t>Aranceles</t>
  </si>
  <si>
    <t>Aranceles 11%</t>
  </si>
  <si>
    <t>Impuesto Nacional 8%</t>
  </si>
  <si>
    <t>Categoría</t>
  </si>
  <si>
    <t>Precio Venta</t>
  </si>
  <si>
    <t xml:space="preserve">Código </t>
  </si>
  <si>
    <t>Laptop</t>
  </si>
  <si>
    <t>Celular</t>
  </si>
  <si>
    <t>Desktop</t>
  </si>
  <si>
    <t>Plancha</t>
  </si>
  <si>
    <t>Audifonos</t>
  </si>
  <si>
    <t>Monitor</t>
  </si>
  <si>
    <t>Tablet</t>
  </si>
  <si>
    <t>Refrigerador</t>
  </si>
  <si>
    <t>Lenovo</t>
  </si>
  <si>
    <t>Huawei</t>
  </si>
  <si>
    <t>Dell</t>
  </si>
  <si>
    <t>Mabe</t>
  </si>
  <si>
    <t>Microsoft</t>
  </si>
  <si>
    <t>LG</t>
  </si>
  <si>
    <t>iPhone</t>
  </si>
  <si>
    <t>Aoc</t>
  </si>
  <si>
    <t>China</t>
  </si>
  <si>
    <t>Código</t>
  </si>
  <si>
    <t>Imp.Nacional</t>
  </si>
  <si>
    <t>Imp Servicio 3%</t>
  </si>
  <si>
    <t>Total</t>
  </si>
  <si>
    <t>Categoria</t>
  </si>
  <si>
    <t>I.V.A 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</si>
</sst>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₡&quot;#,##0.0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0"/>
      <name val="Times New Roman"/>
      <family val="1"/>
    </font>
    <font>
      <sz val="12"/>
      <color rgb="FF000000"/>
      <name val="Times New Roman"/>
      <family val="1"/>
    </font>
  </fonts>
  <fills count="3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8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/>
    </xf>
    <xf numFmtId="0" fontId="2" fillId="13" borderId="2" xfId="0" applyFont="1" applyFill="1" applyBorder="1" applyAlignment="1">
      <alignment horizontal="center"/>
    </xf>
    <xf numFmtId="0" fontId="2" fillId="14" borderId="2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164" fontId="1" fillId="25" borderId="2" xfId="0" applyNumberFormat="1" applyFont="1" applyFill="1" applyBorder="1" applyAlignment="1">
      <alignment horizontal="center"/>
    </xf>
    <xf numFmtId="164" fontId="1" fillId="17" borderId="2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4" fontId="1" fillId="19" borderId="2" xfId="0" applyNumberFormat="1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3" borderId="2" xfId="0" applyNumberFormat="1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20" borderId="0" xfId="0" applyFill="1"/>
    <xf numFmtId="0" fontId="3" fillId="12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22" borderId="2" xfId="0" applyFont="1" applyFill="1" applyBorder="1" applyAlignment="1">
      <alignment horizontal="center"/>
    </xf>
    <xf numFmtId="0" fontId="1" fillId="26" borderId="2" xfId="0" applyFont="1" applyFill="1" applyBorder="1" applyAlignment="1">
      <alignment horizontal="center"/>
    </xf>
    <xf numFmtId="164" fontId="1" fillId="26" borderId="2" xfId="0" applyNumberFormat="1" applyFont="1" applyFill="1" applyBorder="1" applyAlignment="1">
      <alignment horizontal="center"/>
    </xf>
    <xf numFmtId="0" fontId="0" fillId="15" borderId="0" xfId="0" applyFill="1"/>
    <xf numFmtId="0" fontId="1" fillId="12" borderId="2" xfId="0" applyFont="1" applyFill="1" applyBorder="1"/>
    <xf numFmtId="0" fontId="1" fillId="6" borderId="2" xfId="0" applyFont="1" applyFill="1" applyBorder="1" applyAlignment="1">
      <alignment horizontal="center"/>
    </xf>
    <xf numFmtId="0" fontId="1" fillId="11" borderId="2" xfId="0" applyFont="1" applyFill="1" applyBorder="1"/>
    <xf numFmtId="0" fontId="1" fillId="24" borderId="2" xfId="0" applyFont="1" applyFill="1" applyBorder="1" applyAlignment="1">
      <alignment horizontal="center"/>
    </xf>
    <xf numFmtId="0" fontId="1" fillId="16" borderId="2" xfId="0" applyFont="1" applyFill="1" applyBorder="1"/>
    <xf numFmtId="0" fontId="1" fillId="7" borderId="2" xfId="0" applyFont="1" applyFill="1" applyBorder="1"/>
    <xf numFmtId="0" fontId="1" fillId="14" borderId="2" xfId="0" applyFont="1" applyFill="1" applyBorder="1"/>
    <xf numFmtId="0" fontId="1" fillId="25" borderId="2" xfId="0" applyFont="1" applyFill="1" applyBorder="1" applyAlignment="1">
      <alignment horizontal="center"/>
    </xf>
    <xf numFmtId="0" fontId="1" fillId="9" borderId="2" xfId="0" applyFont="1" applyFill="1" applyBorder="1"/>
    <xf numFmtId="0" fontId="1" fillId="18" borderId="2" xfId="0" applyFont="1" applyFill="1" applyBorder="1" applyAlignment="1">
      <alignment horizontal="center"/>
    </xf>
    <xf numFmtId="0" fontId="2" fillId="21" borderId="2" xfId="0" applyFont="1" applyFill="1" applyBorder="1"/>
    <xf numFmtId="0" fontId="1" fillId="4" borderId="2" xfId="0" applyFont="1" applyFill="1" applyBorder="1" applyAlignment="1">
      <alignment horizontal="center"/>
    </xf>
    <xf numFmtId="0" fontId="1" fillId="3" borderId="2" xfId="0" applyFont="1" applyFill="1" applyBorder="1"/>
    <xf numFmtId="0" fontId="1" fillId="23" borderId="2" xfId="0" applyFont="1" applyFill="1" applyBorder="1" applyAlignment="1">
      <alignment horizontal="center"/>
    </xf>
    <xf numFmtId="0" fontId="2" fillId="27" borderId="2" xfId="0" applyFont="1" applyFill="1" applyBorder="1" applyAlignment="1">
      <alignment vertical="center"/>
    </xf>
    <xf numFmtId="0" fontId="1" fillId="28" borderId="2" xfId="0" applyFont="1" applyFill="1" applyBorder="1" applyAlignment="1">
      <alignment vertical="center"/>
    </xf>
    <xf numFmtId="0" fontId="0" fillId="10" borderId="2" xfId="0" applyFill="1" applyBorder="1"/>
    <xf numFmtId="0" fontId="0" fillId="8" borderId="10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16" borderId="2" xfId="0" applyFill="1" applyBorder="1"/>
    <xf numFmtId="0" fontId="0" fillId="29" borderId="10" xfId="0" applyFill="1" applyBorder="1" applyAlignment="1">
      <alignment horizontal="center"/>
    </xf>
    <xf numFmtId="0" fontId="0" fillId="29" borderId="11" xfId="0" applyFill="1" applyBorder="1" applyAlignment="1">
      <alignment horizontal="center"/>
    </xf>
    <xf numFmtId="0" fontId="0" fillId="29" borderId="12" xfId="0" applyFill="1" applyBorder="1" applyAlignment="1">
      <alignment horizontal="center"/>
    </xf>
  </cellXfs>
  <cellStyles count="1">
    <cellStyle name="Normal" xfId="0" builtinId="0"/>
  </cellStyles>
  <dxfs count="2">
    <dxf>
      <font>
        <color theme="4" tint="-0.2499465926084170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94955073139001"/>
          <c:y val="0.12861034262609067"/>
          <c:w val="0.86714121879151496"/>
          <c:h val="0.723226218344328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Planilla!$C$3</c:f>
              <c:strCache>
                <c:ptCount val="1"/>
                <c:pt idx="0">
                  <c:v>Salario Base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Planilla!$B$4:$B$8</c:f>
              <c:strCache>
                <c:ptCount val="5"/>
                <c:pt idx="0">
                  <c:v>Paco Fernandez</c:v>
                </c:pt>
                <c:pt idx="1">
                  <c:v>Lucas Jimenez</c:v>
                </c:pt>
                <c:pt idx="2">
                  <c:v>Lizbeth Aragones</c:v>
                </c:pt>
                <c:pt idx="3">
                  <c:v>Guillermo Rodriguez</c:v>
                </c:pt>
                <c:pt idx="4">
                  <c:v>Fernando Brenes</c:v>
                </c:pt>
              </c:strCache>
            </c:strRef>
          </c:cat>
          <c:val>
            <c:numRef>
              <c:f>Planilla!$C$4:$C$8</c:f>
              <c:numCache>
                <c:formatCode>"₡"#,##0.00</c:formatCode>
                <c:ptCount val="5"/>
                <c:pt idx="0">
                  <c:v>5000000</c:v>
                </c:pt>
                <c:pt idx="1">
                  <c:v>750000</c:v>
                </c:pt>
                <c:pt idx="2">
                  <c:v>352000</c:v>
                </c:pt>
                <c:pt idx="3">
                  <c:v>15200</c:v>
                </c:pt>
                <c:pt idx="4">
                  <c:v>654000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58-4D1A-A241-1ED3AA41945B}"/>
            </c:ext>
          </c:extLst>
        </c:ser>
        <c:ser>
          <c:idx val="1"/>
          <c:order val="1"/>
          <c:tx>
            <c:strRef>
              <c:f>Planilla!$G$3</c:f>
              <c:strCache>
                <c:ptCount val="1"/>
                <c:pt idx="0">
                  <c:v>Salario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Planilla!$B$4:$B$8</c:f>
              <c:strCache>
                <c:ptCount val="5"/>
                <c:pt idx="0">
                  <c:v>Paco Fernandez</c:v>
                </c:pt>
                <c:pt idx="1">
                  <c:v>Lucas Jimenez</c:v>
                </c:pt>
                <c:pt idx="2">
                  <c:v>Lizbeth Aragones</c:v>
                </c:pt>
                <c:pt idx="3">
                  <c:v>Guillermo Rodriguez</c:v>
                </c:pt>
                <c:pt idx="4">
                  <c:v>Fernando Brenes</c:v>
                </c:pt>
              </c:strCache>
            </c:strRef>
          </c:cat>
          <c:val>
            <c:numRef>
              <c:f>Planilla!$G$4:$G$8</c:f>
              <c:numCache>
                <c:formatCode>"₡"#,##0.00</c:formatCode>
                <c:ptCount val="5"/>
                <c:pt idx="0">
                  <c:v>4000000</c:v>
                </c:pt>
                <c:pt idx="1">
                  <c:v>600000</c:v>
                </c:pt>
                <c:pt idx="2">
                  <c:v>281600</c:v>
                </c:pt>
                <c:pt idx="3">
                  <c:v>12160</c:v>
                </c:pt>
                <c:pt idx="4">
                  <c:v>523200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58-4D1A-A241-1ED3AA419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5249408"/>
        <c:axId val="325251376"/>
      </c:barChart>
      <c:catAx>
        <c:axId val="32524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325251376"/>
        <c:crosses val="autoZero"/>
        <c:auto val="1"/>
        <c:lblAlgn val="ctr"/>
        <c:lblOffset val="100"/>
        <c:noMultiLvlLbl val="0"/>
      </c:catAx>
      <c:valAx>
        <c:axId val="32525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₡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3252494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Productos!$I$2</c:f>
              <c:strCache>
                <c:ptCount val="1"/>
                <c:pt idx="0">
                  <c:v>Precio Venta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Productos!$C$3:$C$12</c:f>
              <c:strCache>
                <c:ptCount val="10"/>
                <c:pt idx="0">
                  <c:v>Laptop</c:v>
                </c:pt>
                <c:pt idx="1">
                  <c:v>Celular</c:v>
                </c:pt>
                <c:pt idx="2">
                  <c:v>Desktop</c:v>
                </c:pt>
                <c:pt idx="3">
                  <c:v>Plancha</c:v>
                </c:pt>
                <c:pt idx="4">
                  <c:v>Laptop</c:v>
                </c:pt>
                <c:pt idx="5">
                  <c:v>Celular</c:v>
                </c:pt>
                <c:pt idx="6">
                  <c:v>Audifonos</c:v>
                </c:pt>
                <c:pt idx="7">
                  <c:v>Monitor</c:v>
                </c:pt>
                <c:pt idx="8">
                  <c:v>Tablet</c:v>
                </c:pt>
                <c:pt idx="9">
                  <c:v>Refrigerador</c:v>
                </c:pt>
              </c:strCache>
            </c:strRef>
          </c:cat>
          <c:val>
            <c:numRef>
              <c:f>Productos!$I$3:$I$12</c:f>
              <c:numCache>
                <c:formatCode>"₡"#,##0.00</c:formatCode>
                <c:ptCount val="10"/>
                <c:pt idx="0">
                  <c:v>522000</c:v>
                </c:pt>
                <c:pt idx="1">
                  <c:v>164720</c:v>
                </c:pt>
                <c:pt idx="2">
                  <c:v>580000</c:v>
                </c:pt>
                <c:pt idx="3">
                  <c:v>23200</c:v>
                </c:pt>
                <c:pt idx="4">
                  <c:v>1740000</c:v>
                </c:pt>
                <c:pt idx="5">
                  <c:v>58000</c:v>
                </c:pt>
                <c:pt idx="6">
                  <c:v>78880</c:v>
                </c:pt>
                <c:pt idx="7">
                  <c:v>203000</c:v>
                </c:pt>
                <c:pt idx="8">
                  <c:v>5800</c:v>
                </c:pt>
                <c:pt idx="9">
                  <c:v>635680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91-48A5-B498-91C66573F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66674</xdr:rowOff>
    </xdr:from>
    <xdr:to>
      <xdr:col>12</xdr:col>
      <xdr:colOff>285750</xdr:colOff>
      <xdr:row>44</xdr:row>
      <xdr:rowOff>190499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109537</xdr:rowOff>
    </xdr:from>
    <xdr:to>
      <xdr:col>5</xdr:col>
      <xdr:colOff>685800</xdr:colOff>
      <xdr:row>27</xdr:row>
      <xdr:rowOff>185737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zoomScale="70" zoomScaleNormal="70" workbookViewId="0">
      <selection activeCell="M17" sqref="M17"/>
    </sheetView>
  </sheetViews>
  <sheetFormatPr baseColWidth="10" defaultRowHeight="15" x14ac:dyDescent="0.25"/>
  <cols>
    <col min="1" max="1" width="4.140625" customWidth="1"/>
    <col min="2" max="2" width="19.28515625" bestFit="1" customWidth="1"/>
    <col min="3" max="3" width="15.7109375" bestFit="1" customWidth="1"/>
    <col min="4" max="6" width="13.85546875" bestFit="1" customWidth="1"/>
    <col min="7" max="7" width="15.7109375" bestFit="1" customWidth="1"/>
    <col min="9" max="9" width="3.140625" customWidth="1"/>
  </cols>
  <sheetData>
    <row r="1" spans="1:9" x14ac:dyDescent="0.25">
      <c r="A1" s="27"/>
      <c r="B1" s="27"/>
      <c r="C1" s="27"/>
      <c r="D1" s="27"/>
      <c r="E1" s="27"/>
      <c r="F1" s="27"/>
      <c r="G1" s="27"/>
      <c r="H1" s="27"/>
      <c r="I1" s="27"/>
    </row>
    <row r="2" spans="1:9" ht="15.75" x14ac:dyDescent="0.25">
      <c r="A2" s="27"/>
      <c r="B2" s="1" t="s">
        <v>0</v>
      </c>
      <c r="C2" s="1"/>
      <c r="D2" s="1"/>
      <c r="E2" s="1"/>
      <c r="F2" s="1"/>
      <c r="G2" s="1"/>
      <c r="H2" s="1"/>
      <c r="I2" s="27"/>
    </row>
    <row r="3" spans="1:9" ht="15.75" x14ac:dyDescent="0.25">
      <c r="A3" s="27"/>
      <c r="B3" s="2" t="s">
        <v>1</v>
      </c>
      <c r="C3" s="3" t="s">
        <v>2</v>
      </c>
      <c r="D3" s="4" t="s">
        <v>3</v>
      </c>
      <c r="E3" s="5" t="s">
        <v>4</v>
      </c>
      <c r="F3" s="3" t="s">
        <v>5</v>
      </c>
      <c r="G3" s="6" t="s">
        <v>6</v>
      </c>
      <c r="H3" s="7" t="s">
        <v>7</v>
      </c>
      <c r="I3" s="27"/>
    </row>
    <row r="4" spans="1:9" ht="15.75" x14ac:dyDescent="0.25">
      <c r="A4" s="27"/>
      <c r="B4" s="8" t="s">
        <v>8</v>
      </c>
      <c r="C4" s="9">
        <v>5000000</v>
      </c>
      <c r="D4" s="10">
        <f>C4*11%</f>
        <v>550000</v>
      </c>
      <c r="E4" s="11">
        <f>C4*5%</f>
        <v>250000</v>
      </c>
      <c r="F4" s="12">
        <f>C4*4%</f>
        <v>200000</v>
      </c>
      <c r="G4" s="13">
        <f>C4-D4-E4-F4</f>
        <v>4000000</v>
      </c>
      <c r="H4" s="14" t="str">
        <f>IF(G4&gt;1000000,"Clase A",IF(G4&gt;=600000,"Clase B",IF(G4&gt;=100000,"Clase C","Clase D")))</f>
        <v>Clase A</v>
      </c>
      <c r="I4" s="27"/>
    </row>
    <row r="5" spans="1:9" ht="15.75" x14ac:dyDescent="0.25">
      <c r="A5" s="27"/>
      <c r="B5" s="8" t="s">
        <v>9</v>
      </c>
      <c r="C5" s="9">
        <v>750000</v>
      </c>
      <c r="D5" s="10">
        <f t="shared" ref="D5:D8" si="0">C5*11%</f>
        <v>82500</v>
      </c>
      <c r="E5" s="11">
        <f t="shared" ref="E5:E8" si="1">C5*5%</f>
        <v>37500</v>
      </c>
      <c r="F5" s="12">
        <f t="shared" ref="F5:F8" si="2">C5*4%</f>
        <v>30000</v>
      </c>
      <c r="G5" s="13">
        <f t="shared" ref="G5:G8" si="3">C5-D5-E5-F5</f>
        <v>600000</v>
      </c>
      <c r="H5" s="14" t="str">
        <f t="shared" ref="H5:H8" si="4">IF(G5&gt;1000000,"Clase A",IF(G5&gt;=600000,"Clase B",IF(G5&gt;=100000,"Clase C","Clase D")))</f>
        <v>Clase B</v>
      </c>
      <c r="I5" s="27"/>
    </row>
    <row r="6" spans="1:9" ht="15.75" x14ac:dyDescent="0.25">
      <c r="A6" s="27"/>
      <c r="B6" s="8" t="s">
        <v>10</v>
      </c>
      <c r="C6" s="9">
        <v>352000</v>
      </c>
      <c r="D6" s="10">
        <f t="shared" si="0"/>
        <v>38720</v>
      </c>
      <c r="E6" s="11">
        <f t="shared" si="1"/>
        <v>17600</v>
      </c>
      <c r="F6" s="12">
        <f t="shared" si="2"/>
        <v>14080</v>
      </c>
      <c r="G6" s="13">
        <f t="shared" si="3"/>
        <v>281600</v>
      </c>
      <c r="H6" s="14" t="str">
        <f t="shared" si="4"/>
        <v>Clase C</v>
      </c>
      <c r="I6" s="27"/>
    </row>
    <row r="7" spans="1:9" ht="15.75" x14ac:dyDescent="0.25">
      <c r="A7" s="27"/>
      <c r="B7" s="8" t="s">
        <v>11</v>
      </c>
      <c r="C7" s="9">
        <v>15200</v>
      </c>
      <c r="D7" s="10">
        <f t="shared" si="0"/>
        <v>1672</v>
      </c>
      <c r="E7" s="11">
        <f t="shared" si="1"/>
        <v>760</v>
      </c>
      <c r="F7" s="12">
        <f t="shared" si="2"/>
        <v>608</v>
      </c>
      <c r="G7" s="13">
        <f t="shared" si="3"/>
        <v>12160</v>
      </c>
      <c r="H7" s="14" t="str">
        <f t="shared" si="4"/>
        <v>Clase D</v>
      </c>
      <c r="I7" s="27"/>
    </row>
    <row r="8" spans="1:9" ht="15.75" x14ac:dyDescent="0.25">
      <c r="A8" s="27"/>
      <c r="B8" s="8" t="s">
        <v>12</v>
      </c>
      <c r="C8" s="9">
        <v>654000</v>
      </c>
      <c r="D8" s="10">
        <f t="shared" si="0"/>
        <v>71940</v>
      </c>
      <c r="E8" s="11">
        <f t="shared" si="1"/>
        <v>32700</v>
      </c>
      <c r="F8" s="12">
        <f t="shared" si="2"/>
        <v>26160</v>
      </c>
      <c r="G8" s="13">
        <f t="shared" si="3"/>
        <v>523200</v>
      </c>
      <c r="H8" s="14" t="str">
        <f t="shared" si="4"/>
        <v>Clase C</v>
      </c>
      <c r="I8" s="27"/>
    </row>
    <row r="9" spans="1:9" ht="15.75" x14ac:dyDescent="0.25">
      <c r="A9" s="27"/>
      <c r="B9" s="8" t="s">
        <v>13</v>
      </c>
      <c r="C9" s="15">
        <f>COUNTA(B4,B5,B6,B7,B8)</f>
        <v>5</v>
      </c>
      <c r="D9" s="18"/>
      <c r="E9" s="19"/>
      <c r="F9" s="19"/>
      <c r="G9" s="19"/>
      <c r="H9" s="20"/>
      <c r="I9" s="27"/>
    </row>
    <row r="10" spans="1:9" ht="15.75" x14ac:dyDescent="0.25">
      <c r="A10" s="27"/>
      <c r="B10" s="8" t="s">
        <v>14</v>
      </c>
      <c r="C10" s="9">
        <f>MIN(G4:G8)</f>
        <v>12160</v>
      </c>
      <c r="D10" s="21"/>
      <c r="E10" s="22"/>
      <c r="F10" s="22"/>
      <c r="G10" s="22"/>
      <c r="H10" s="23"/>
      <c r="I10" s="27"/>
    </row>
    <row r="11" spans="1:9" ht="15.75" x14ac:dyDescent="0.25">
      <c r="A11" s="27"/>
      <c r="B11" s="8" t="s">
        <v>15</v>
      </c>
      <c r="C11" s="9">
        <f>MAX(G4:G8)</f>
        <v>4000000</v>
      </c>
      <c r="D11" s="21"/>
      <c r="E11" s="22"/>
      <c r="F11" s="22"/>
      <c r="G11" s="22"/>
      <c r="H11" s="23"/>
      <c r="I11" s="27"/>
    </row>
    <row r="12" spans="1:9" ht="27" customHeight="1" x14ac:dyDescent="0.25">
      <c r="A12" s="27"/>
      <c r="B12" s="16" t="s">
        <v>16</v>
      </c>
      <c r="C12" s="17">
        <f>COUNTIF(G4:G8,"&gt;220000")</f>
        <v>4</v>
      </c>
      <c r="D12" s="21"/>
      <c r="E12" s="22"/>
      <c r="F12" s="22"/>
      <c r="G12" s="22"/>
      <c r="H12" s="23"/>
      <c r="I12" s="27"/>
    </row>
    <row r="13" spans="1:9" ht="15.75" x14ac:dyDescent="0.25">
      <c r="A13" s="27"/>
      <c r="B13" s="8" t="s">
        <v>17</v>
      </c>
      <c r="C13" s="17">
        <f>COUNTIF(G4:G8,"&gt;=1000000")</f>
        <v>1</v>
      </c>
      <c r="D13" s="21"/>
      <c r="E13" s="22"/>
      <c r="F13" s="22"/>
      <c r="G13" s="22"/>
      <c r="H13" s="23"/>
      <c r="I13" s="27"/>
    </row>
    <row r="14" spans="1:9" ht="15.75" x14ac:dyDescent="0.25">
      <c r="A14" s="27"/>
      <c r="B14" s="8" t="s">
        <v>18</v>
      </c>
      <c r="C14" s="17">
        <f>COUNTIF(H4:H8,"Clase B")</f>
        <v>1</v>
      </c>
      <c r="D14" s="24"/>
      <c r="E14" s="25"/>
      <c r="F14" s="25"/>
      <c r="G14" s="25"/>
      <c r="H14" s="26"/>
      <c r="I14" s="27"/>
    </row>
    <row r="15" spans="1:9" x14ac:dyDescent="0.25">
      <c r="A15" s="27"/>
      <c r="B15" s="27"/>
      <c r="C15" s="27"/>
      <c r="D15" s="27"/>
      <c r="E15" s="27"/>
      <c r="F15" s="27"/>
      <c r="G15" s="27"/>
      <c r="H15" s="27"/>
      <c r="I15" s="27"/>
    </row>
  </sheetData>
  <mergeCells count="2">
    <mergeCell ref="B2:H2"/>
    <mergeCell ref="D9:H14"/>
  </mergeCells>
  <conditionalFormatting sqref="H4:H8">
    <cfRule type="containsText" dxfId="1" priority="1" operator="containsText" text="Clase B">
      <formula>NOT(ISERROR(SEARCH("Clase B",H4)))</formula>
    </cfRule>
    <cfRule type="containsText" dxfId="0" priority="2" operator="containsText" text="Clase A">
      <formula>NOT(ISERROR(SEARCH("Clase A",H4)))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I2" activeCellId="1" sqref="C2:C12 I2:I12"/>
    </sheetView>
  </sheetViews>
  <sheetFormatPr baseColWidth="10" defaultRowHeight="15" x14ac:dyDescent="0.25"/>
  <cols>
    <col min="2" max="2" width="8.7109375" customWidth="1"/>
    <col min="3" max="3" width="12.140625" bestFit="1" customWidth="1"/>
    <col min="5" max="5" width="14.5703125" bestFit="1" customWidth="1"/>
    <col min="6" max="6" width="13.85546875" bestFit="1" customWidth="1"/>
    <col min="7" max="7" width="20.85546875" bestFit="1" customWidth="1"/>
    <col min="9" max="9" width="14.5703125" bestFit="1" customWidth="1"/>
  </cols>
  <sheetData>
    <row r="1" spans="1:10" x14ac:dyDescent="0.25">
      <c r="A1" s="27"/>
      <c r="B1" s="27"/>
      <c r="C1" s="27"/>
      <c r="D1" s="27"/>
      <c r="E1" s="27"/>
      <c r="F1" s="27"/>
      <c r="G1" s="27"/>
      <c r="H1" s="27"/>
      <c r="I1" s="27"/>
      <c r="J1" s="27"/>
    </row>
    <row r="2" spans="1:10" ht="15.75" x14ac:dyDescent="0.25">
      <c r="A2" s="27"/>
      <c r="B2" s="28" t="s">
        <v>27</v>
      </c>
      <c r="C2" s="29" t="s">
        <v>19</v>
      </c>
      <c r="D2" s="8" t="s">
        <v>20</v>
      </c>
      <c r="E2" s="8" t="s">
        <v>21</v>
      </c>
      <c r="F2" s="8" t="s">
        <v>23</v>
      </c>
      <c r="G2" s="8" t="s">
        <v>24</v>
      </c>
      <c r="H2" s="8" t="s">
        <v>25</v>
      </c>
      <c r="I2" s="8" t="s">
        <v>26</v>
      </c>
      <c r="J2" s="27"/>
    </row>
    <row r="3" spans="1:10" ht="15.75" x14ac:dyDescent="0.25">
      <c r="A3" s="27"/>
      <c r="B3" s="14">
        <v>1121</v>
      </c>
      <c r="C3" s="30" t="s">
        <v>28</v>
      </c>
      <c r="D3" s="31" t="s">
        <v>36</v>
      </c>
      <c r="E3" s="32">
        <v>450000</v>
      </c>
      <c r="F3" s="32">
        <f>E3*11%</f>
        <v>49500</v>
      </c>
      <c r="G3" s="32">
        <f>E3*5%</f>
        <v>22500</v>
      </c>
      <c r="H3" s="31" t="str">
        <f>IF(E3&gt;300000,"Nuevo","De Segunda")</f>
        <v>Nuevo</v>
      </c>
      <c r="I3" s="32">
        <f>E3+F3+G3</f>
        <v>522000</v>
      </c>
      <c r="J3" s="27"/>
    </row>
    <row r="4" spans="1:10" ht="15.75" x14ac:dyDescent="0.25">
      <c r="A4" s="27"/>
      <c r="B4" s="14">
        <v>1912</v>
      </c>
      <c r="C4" s="30" t="s">
        <v>29</v>
      </c>
      <c r="D4" s="31" t="s">
        <v>37</v>
      </c>
      <c r="E4" s="32">
        <v>142000</v>
      </c>
      <c r="F4" s="32">
        <f t="shared" ref="F4:F12" si="0">E4*11%</f>
        <v>15620</v>
      </c>
      <c r="G4" s="32">
        <f t="shared" ref="G4:G12" si="1">E4*5%</f>
        <v>7100</v>
      </c>
      <c r="H4" s="31" t="str">
        <f t="shared" ref="H4:H12" si="2">IF(E4&gt;300000,"Nuevo","De Segunda")</f>
        <v>De Segunda</v>
      </c>
      <c r="I4" s="32">
        <f t="shared" ref="I4:I12" si="3">E4+F4+G4</f>
        <v>164720</v>
      </c>
      <c r="J4" s="27"/>
    </row>
    <row r="5" spans="1:10" ht="15.75" x14ac:dyDescent="0.25">
      <c r="A5" s="27"/>
      <c r="B5" s="14">
        <v>2312</v>
      </c>
      <c r="C5" s="30" t="s">
        <v>30</v>
      </c>
      <c r="D5" s="31" t="s">
        <v>38</v>
      </c>
      <c r="E5" s="32">
        <v>500000</v>
      </c>
      <c r="F5" s="32">
        <f t="shared" si="0"/>
        <v>55000</v>
      </c>
      <c r="G5" s="32">
        <f t="shared" si="1"/>
        <v>25000</v>
      </c>
      <c r="H5" s="31" t="str">
        <f t="shared" si="2"/>
        <v>Nuevo</v>
      </c>
      <c r="I5" s="32">
        <f t="shared" si="3"/>
        <v>580000</v>
      </c>
      <c r="J5" s="27"/>
    </row>
    <row r="6" spans="1:10" ht="15.75" x14ac:dyDescent="0.25">
      <c r="A6" s="27"/>
      <c r="B6" s="14">
        <v>2405</v>
      </c>
      <c r="C6" s="30" t="s">
        <v>31</v>
      </c>
      <c r="D6" s="31" t="s">
        <v>39</v>
      </c>
      <c r="E6" s="32">
        <v>20000</v>
      </c>
      <c r="F6" s="32">
        <f t="shared" si="0"/>
        <v>2200</v>
      </c>
      <c r="G6" s="32">
        <f t="shared" si="1"/>
        <v>1000</v>
      </c>
      <c r="H6" s="31" t="str">
        <f t="shared" si="2"/>
        <v>De Segunda</v>
      </c>
      <c r="I6" s="32">
        <f t="shared" si="3"/>
        <v>23200</v>
      </c>
      <c r="J6" s="27"/>
    </row>
    <row r="7" spans="1:10" ht="15.75" x14ac:dyDescent="0.25">
      <c r="A7" s="27"/>
      <c r="B7" s="14">
        <v>1112</v>
      </c>
      <c r="C7" s="30" t="s">
        <v>28</v>
      </c>
      <c r="D7" s="31" t="s">
        <v>40</v>
      </c>
      <c r="E7" s="32">
        <v>1500000</v>
      </c>
      <c r="F7" s="32">
        <f t="shared" si="0"/>
        <v>165000</v>
      </c>
      <c r="G7" s="32">
        <f t="shared" si="1"/>
        <v>75000</v>
      </c>
      <c r="H7" s="31" t="str">
        <f t="shared" si="2"/>
        <v>Nuevo</v>
      </c>
      <c r="I7" s="32">
        <f t="shared" si="3"/>
        <v>1740000</v>
      </c>
      <c r="J7" s="27"/>
    </row>
    <row r="8" spans="1:10" ht="15.75" x14ac:dyDescent="0.25">
      <c r="A8" s="27"/>
      <c r="B8" s="14">
        <v>9875</v>
      </c>
      <c r="C8" s="30" t="s">
        <v>29</v>
      </c>
      <c r="D8" s="31" t="s">
        <v>41</v>
      </c>
      <c r="E8" s="32">
        <v>50000</v>
      </c>
      <c r="F8" s="32">
        <f t="shared" si="0"/>
        <v>5500</v>
      </c>
      <c r="G8" s="32">
        <f t="shared" si="1"/>
        <v>2500</v>
      </c>
      <c r="H8" s="31" t="str">
        <f t="shared" si="2"/>
        <v>De Segunda</v>
      </c>
      <c r="I8" s="32">
        <f t="shared" si="3"/>
        <v>58000</v>
      </c>
      <c r="J8" s="27"/>
    </row>
    <row r="9" spans="1:10" ht="15.75" x14ac:dyDescent="0.25">
      <c r="A9" s="27"/>
      <c r="B9" s="14">
        <v>2306</v>
      </c>
      <c r="C9" s="30" t="s">
        <v>32</v>
      </c>
      <c r="D9" s="31" t="s">
        <v>42</v>
      </c>
      <c r="E9" s="32">
        <v>68000</v>
      </c>
      <c r="F9" s="32">
        <f t="shared" si="0"/>
        <v>7480</v>
      </c>
      <c r="G9" s="32">
        <f t="shared" si="1"/>
        <v>3400</v>
      </c>
      <c r="H9" s="31" t="str">
        <f t="shared" si="2"/>
        <v>De Segunda</v>
      </c>
      <c r="I9" s="32">
        <f t="shared" si="3"/>
        <v>78880</v>
      </c>
      <c r="J9" s="27"/>
    </row>
    <row r="10" spans="1:10" ht="15.75" x14ac:dyDescent="0.25">
      <c r="A10" s="27"/>
      <c r="B10" s="14">
        <v>1911</v>
      </c>
      <c r="C10" s="30" t="s">
        <v>33</v>
      </c>
      <c r="D10" s="31" t="s">
        <v>43</v>
      </c>
      <c r="E10" s="32">
        <v>175000</v>
      </c>
      <c r="F10" s="32">
        <f t="shared" si="0"/>
        <v>19250</v>
      </c>
      <c r="G10" s="32">
        <f t="shared" si="1"/>
        <v>8750</v>
      </c>
      <c r="H10" s="31" t="str">
        <f t="shared" si="2"/>
        <v>De Segunda</v>
      </c>
      <c r="I10" s="32">
        <f t="shared" si="3"/>
        <v>203000</v>
      </c>
      <c r="J10" s="27"/>
    </row>
    <row r="11" spans="1:10" ht="15.75" x14ac:dyDescent="0.25">
      <c r="A11" s="27"/>
      <c r="B11" s="14">
        <v>8745</v>
      </c>
      <c r="C11" s="30" t="s">
        <v>34</v>
      </c>
      <c r="D11" s="31" t="s">
        <v>44</v>
      </c>
      <c r="E11" s="32">
        <v>5000</v>
      </c>
      <c r="F11" s="32">
        <f t="shared" si="0"/>
        <v>550</v>
      </c>
      <c r="G11" s="32">
        <f t="shared" si="1"/>
        <v>250</v>
      </c>
      <c r="H11" s="31" t="str">
        <f t="shared" si="2"/>
        <v>De Segunda</v>
      </c>
      <c r="I11" s="32">
        <f t="shared" si="3"/>
        <v>5800</v>
      </c>
      <c r="J11" s="27"/>
    </row>
    <row r="12" spans="1:10" ht="15.75" x14ac:dyDescent="0.25">
      <c r="A12" s="27"/>
      <c r="B12" s="14">
        <v>1212</v>
      </c>
      <c r="C12" s="30" t="s">
        <v>35</v>
      </c>
      <c r="D12" s="31" t="s">
        <v>39</v>
      </c>
      <c r="E12" s="32">
        <v>548000</v>
      </c>
      <c r="F12" s="32">
        <f t="shared" si="0"/>
        <v>60280</v>
      </c>
      <c r="G12" s="32">
        <f t="shared" si="1"/>
        <v>27400</v>
      </c>
      <c r="H12" s="31" t="str">
        <f t="shared" si="2"/>
        <v>Nuevo</v>
      </c>
      <c r="I12" s="32">
        <f t="shared" si="3"/>
        <v>635680</v>
      </c>
      <c r="J12" s="27"/>
    </row>
    <row r="13" spans="1:10" x14ac:dyDescent="0.25">
      <c r="A13" s="27"/>
      <c r="B13" s="27"/>
      <c r="C13" s="27"/>
      <c r="D13" s="27"/>
      <c r="E13" s="27"/>
      <c r="F13" s="27"/>
      <c r="G13" s="27"/>
      <c r="H13" s="27"/>
      <c r="I13" s="27"/>
      <c r="J13" s="2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E12" sqref="E12"/>
    </sheetView>
  </sheetViews>
  <sheetFormatPr baseColWidth="10" defaultRowHeight="15" x14ac:dyDescent="0.25"/>
  <cols>
    <col min="2" max="2" width="15.5703125" bestFit="1" customWidth="1"/>
    <col min="4" max="4" width="12.7109375" bestFit="1" customWidth="1"/>
  </cols>
  <sheetData>
    <row r="1" spans="1:6" x14ac:dyDescent="0.25">
      <c r="A1" s="33"/>
      <c r="B1" s="33"/>
      <c r="C1" s="33"/>
      <c r="D1" s="33"/>
      <c r="E1" s="33"/>
      <c r="F1" s="33"/>
    </row>
    <row r="2" spans="1:6" x14ac:dyDescent="0.25">
      <c r="A2" s="33"/>
      <c r="B2" s="50" t="s">
        <v>45</v>
      </c>
      <c r="C2" s="51">
        <v>1121</v>
      </c>
      <c r="D2" s="52"/>
      <c r="E2" s="53"/>
      <c r="F2" s="33"/>
    </row>
    <row r="3" spans="1:6" ht="15.75" x14ac:dyDescent="0.25">
      <c r="A3" s="33"/>
      <c r="B3" s="34" t="s">
        <v>19</v>
      </c>
      <c r="C3" s="35" t="str">
        <f>LOOKUP(C2,Productos!$B$3:$B$12,Productos!$C$3:$C$12)</f>
        <v>Laptop</v>
      </c>
      <c r="D3" s="35"/>
      <c r="E3" s="35"/>
      <c r="F3" s="33"/>
    </row>
    <row r="4" spans="1:6" ht="15.75" x14ac:dyDescent="0.25">
      <c r="A4" s="33"/>
      <c r="B4" s="36" t="s">
        <v>20</v>
      </c>
      <c r="C4" s="37" t="str">
        <f>LOOKUP(C2,Productos!$B$3:$B$12,Productos!$D$3:$D$12)</f>
        <v>Microsoft</v>
      </c>
      <c r="D4" s="38" t="s">
        <v>22</v>
      </c>
      <c r="E4" s="39">
        <f>LOOKUP(C2,Productos!$B$3:$B$12,Productos!$F$3:$F$12)</f>
        <v>165000</v>
      </c>
      <c r="F4" s="33"/>
    </row>
    <row r="5" spans="1:6" ht="15.75" x14ac:dyDescent="0.25">
      <c r="A5" s="33"/>
      <c r="B5" s="40" t="s">
        <v>21</v>
      </c>
      <c r="C5" s="41">
        <f>LOOKUP(C2,Productos!$B$3:$B$12,Productos!$E$3:$E$12)</f>
        <v>1500000</v>
      </c>
      <c r="D5" s="42" t="s">
        <v>46</v>
      </c>
      <c r="E5" s="43">
        <f>LOOKUP(Busqueda!C2,Productos!$B$3:$B$12,Productos!$G$3:$G$12)</f>
        <v>75000</v>
      </c>
      <c r="F5" s="33"/>
    </row>
    <row r="6" spans="1:6" ht="15.75" x14ac:dyDescent="0.25">
      <c r="A6" s="33"/>
      <c r="B6" s="44" t="s">
        <v>47</v>
      </c>
      <c r="C6" s="45">
        <f>E7*3%</f>
        <v>52200</v>
      </c>
      <c r="D6" s="48" t="s">
        <v>49</v>
      </c>
      <c r="E6" s="49" t="str">
        <f>LOOKUP(C2,Productos!$B$3:$B$12,Productos!$H$3:$H$12)</f>
        <v>Nuevo</v>
      </c>
      <c r="F6" s="33"/>
    </row>
    <row r="7" spans="1:6" ht="15.75" x14ac:dyDescent="0.25">
      <c r="A7" s="33"/>
      <c r="B7" s="46" t="s">
        <v>50</v>
      </c>
      <c r="C7" s="47">
        <f>E7*4%</f>
        <v>69600</v>
      </c>
      <c r="D7" s="48" t="s">
        <v>26</v>
      </c>
      <c r="E7" s="49">
        <f>LOOKUP(C2,Productos!$B$3:$B$12,Productos!$I$3:$I$12)</f>
        <v>1740000</v>
      </c>
      <c r="F7" s="33"/>
    </row>
    <row r="8" spans="1:6" x14ac:dyDescent="0.25">
      <c r="A8" s="33"/>
      <c r="B8" s="54" t="s">
        <v>48</v>
      </c>
      <c r="C8" s="55">
        <f>E7+C6+C7</f>
        <v>1861800</v>
      </c>
      <c r="D8" s="56"/>
      <c r="E8" s="57"/>
      <c r="F8" s="33"/>
    </row>
    <row r="9" spans="1:6" x14ac:dyDescent="0.25">
      <c r="A9" s="33"/>
      <c r="B9" s="27"/>
      <c r="C9" s="27"/>
      <c r="D9" s="27"/>
      <c r="E9" s="27"/>
      <c r="F9" s="33"/>
    </row>
  </sheetData>
  <mergeCells count="3">
    <mergeCell ref="C8:E8"/>
    <mergeCell ref="C3:E3"/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Planilla</vt:lpstr>
      <vt:lpstr>Productos</vt:lpstr>
      <vt:lpstr>Busqueda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Cuarto Desarrollo</dc:creator>
  <cp:lastModifiedBy>Cuarto Desarrollo</cp:lastModifiedBy>
  <dcterms:created xsi:type="dcterms:W3CDTF">2019-02-22T15:37:51Z</dcterms:created>
  <dcterms:modified xsi:type="dcterms:W3CDTF">2019-02-22T17:22:40Z</dcterms:modified>
</cp:coreProperties>
</file>